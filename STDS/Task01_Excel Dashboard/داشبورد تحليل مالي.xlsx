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mc:AlternateContent xmlns:mc="http://schemas.openxmlformats.org/markup-compatibility/2006">
    <mc:Choice Requires="x15">
      <x15ac:absPath xmlns:x15ac="http://schemas.microsoft.com/office/spreadsheetml/2010/11/ac" url="D:\projects\Freelanceing\استاذ ياسر تحليل مالي\"/>
    </mc:Choice>
  </mc:AlternateContent>
  <xr:revisionPtr revIDLastSave="0" documentId="13_ncr:1_{6C2A70CF-C69E-4483-BAD4-527BB9B174D1}" xr6:coauthVersionLast="47" xr6:coauthVersionMax="47" xr10:uidLastSave="{00000000-0000-0000-0000-000000000000}"/>
  <bookViews>
    <workbookView xWindow="-108" yWindow="-108" windowWidth="23256" windowHeight="12576" tabRatio="945" activeTab="8" xr2:uid="{00000000-000D-0000-FFFF-FFFF00000000}"/>
  </bookViews>
  <sheets>
    <sheet name="تفاصيل المشروع" sheetId="1" r:id="rId1"/>
    <sheet name="تفاصيل للجهات" sheetId="2" r:id="rId2"/>
    <sheet name="نسبة النمو" sheetId="9" state="hidden" r:id="rId3"/>
    <sheet name="المبيعات والربح" sheetId="7" state="hidden" r:id="rId4"/>
    <sheet name="التكاليف" sheetId="8" state="hidden" r:id="rId5"/>
    <sheet name="المناطق والجهات" sheetId="5" state="hidden" r:id="rId6"/>
    <sheet name="مؤشرات اساسية" sheetId="6" r:id="rId7"/>
    <sheet name="المشاريع لكل شهر" sheetId="3" state="hidden" r:id="rId8"/>
    <sheet name="داشبورد" sheetId="4" r:id="rId9"/>
    <sheet name="المقارنة" sheetId="11" r:id="rId10"/>
    <sheet name="الجداول " sheetId="10" r:id="rId11"/>
    <sheet name="Sheet1" sheetId="12" r:id="rId12"/>
  </sheets>
  <definedNames>
    <definedName name="_xlcn.WorksheetConnection_تحليلمالياستاذياسر.xlsxTable11" hidden="1">Table1[]</definedName>
    <definedName name="_xlcn.WorksheetConnection_تحليلمالياستاذياسر.xlsxTable21" hidden="1">Table2[]</definedName>
    <definedName name="Slicer_اسم_المشروع">#N/A</definedName>
    <definedName name="Slicer_الجهة_الحكومية">#N/A</definedName>
    <definedName name="Slicer_تاريخ_بداية_التقديم__Month">#N/A</definedName>
    <definedName name="Slicer_تاريخ_بداية_التقديم__Year">#N/A</definedName>
  </definedNames>
  <calcPr calcId="191029"/>
  <pivotCaches>
    <pivotCache cacheId="0" r:id="rId13"/>
    <pivotCache cacheId="1" r:id="rId14"/>
    <pivotCache cacheId="2" r:id="rId15"/>
    <pivotCache cacheId="3" r:id="rId16"/>
    <pivotCache cacheId="4" r:id="rId17"/>
    <pivotCache cacheId="5" r:id="rId18"/>
    <pivotCache cacheId="6" r:id="rId19"/>
    <pivotCache cacheId="7" r:id="rId20"/>
    <pivotCache cacheId="8" r:id="rId21"/>
    <pivotCache cacheId="9" r:id="rId22"/>
    <pivotCache cacheId="10" r:id="rId23"/>
  </pivotCaches>
  <extLst>
    <ext xmlns:x14="http://schemas.microsoft.com/office/spreadsheetml/2009/9/main" uri="{876F7934-8845-4945-9796-88D515C7AA90}">
      <x14:pivotCaches>
        <pivotCache cacheId="11" r:id="rId24"/>
      </x14:pivotCaches>
    </ext>
    <ext xmlns:x14="http://schemas.microsoft.com/office/spreadsheetml/2009/9/main" uri="{BBE1A952-AA13-448e-AADC-164F8A28A991}">
      <x14:slicerCaches>
        <x14:slicerCache r:id="rId25"/>
        <x14:slicerCache r:id="rId26"/>
        <x14:slicerCache r:id="rId27"/>
        <x14:slicerCache r:id="rId2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2" name="Table2" connection="WorksheetConnection_تحليل مالي استاذ ياسر.xlsx!Table2"/>
          <x15:modelTable id="Table1" name="Table1" connection="WorksheetConnection_تحليل مالي استاذ ياسر.xlsx!Table1"/>
        </x15:modelTables>
        <x15:modelRelationships>
          <x15:modelRelationship fromTable="Table2" fromColumn="اسم المشروع" toTable="Table1" toColumn="اسم المشروع"/>
        </x15:modelRelationships>
        <x15:extLst>
          <ext xmlns:x16="http://schemas.microsoft.com/office/spreadsheetml/2014/11/main" uri="{9835A34E-60A6-4A7C-AAB8-D5F71C897F49}">
            <x16:modelTimeGroupings>
              <x16:modelTimeGrouping tableName="Table1" columnName="تاريخ بداية التقديم" columnId="تاريخ بداية التقديم">
                <x16:calculatedTimeColumn columnName="تاريخ بداية التقديم (Year)" columnId="تاريخ بداية التقديم (Year)" contentType="years" isSelected="1"/>
                <x16:calculatedTimeColumn columnName="تاريخ بداية التقديم (Quarter)" columnId="تاريخ بداية التقديم (Quarter)" contentType="quarters" isSelected="1"/>
                <x16:calculatedTimeColumn columnName="تاريخ بداية التقديم (Month Index)" columnId="تاريخ بداية التقديم (Month Index)" contentType="monthsindex" isSelected="1"/>
                <x16:calculatedTimeColumn columnName="تاريخ بداية التقديم (Month)" columnId="تاريخ بداية التقديم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1" l="1"/>
  <c r="G3" i="1"/>
  <c r="G4" i="1"/>
  <c r="G5" i="1"/>
  <c r="G6" i="1"/>
  <c r="G7" i="1"/>
  <c r="G8" i="1"/>
  <c r="G9" i="1"/>
  <c r="G10" i="1"/>
  <c r="G11" i="1"/>
  <c r="G12" i="1"/>
  <c r="G13" i="1"/>
  <c r="G14" i="1"/>
  <c r="G15" i="1"/>
  <c r="F2" i="2"/>
  <c r="F3" i="2"/>
  <c r="F4" i="2"/>
  <c r="F5" i="2"/>
  <c r="F6" i="2"/>
  <c r="F7" i="2"/>
  <c r="F8" i="2"/>
  <c r="F9" i="2"/>
  <c r="F10" i="2"/>
  <c r="F11" i="2"/>
  <c r="F12" i="2"/>
  <c r="F13" i="2"/>
  <c r="F14" i="2"/>
  <c r="F15" i="2"/>
  <c r="F16" i="2"/>
  <c r="H4" i="11"/>
  <c r="H5" i="11"/>
  <c r="R11" i="10" s="1"/>
  <c r="F5" i="11"/>
  <c r="Q9" i="10" s="1"/>
  <c r="Q11" i="10" s="1"/>
  <c r="G5" i="11"/>
  <c r="R9" i="10" s="1"/>
  <c r="G4" i="11"/>
  <c r="R12" i="10" s="1"/>
  <c r="F4" i="11"/>
  <c r="Q12" i="10" s="1"/>
  <c r="N2" i="1"/>
  <c r="N3" i="1"/>
  <c r="N4" i="1"/>
  <c r="N5" i="1"/>
  <c r="N6" i="1"/>
  <c r="N7" i="1"/>
  <c r="N8" i="1"/>
  <c r="N9" i="1"/>
  <c r="N10" i="1"/>
  <c r="N11" i="1"/>
  <c r="N12" i="1"/>
  <c r="N13" i="1"/>
  <c r="N14" i="1"/>
  <c r="N15" i="1"/>
  <c r="H16" i="2"/>
  <c r="G16" i="2"/>
  <c r="H15" i="2"/>
  <c r="I15" i="2" s="1"/>
  <c r="G15" i="2"/>
  <c r="H14" i="2"/>
  <c r="G14" i="2"/>
  <c r="H13" i="2"/>
  <c r="G13" i="2"/>
  <c r="H12" i="2"/>
  <c r="G12" i="2"/>
  <c r="H11" i="2"/>
  <c r="I11" i="2" s="1"/>
  <c r="G11" i="2"/>
  <c r="H10" i="2"/>
  <c r="G10" i="2"/>
  <c r="H9" i="2"/>
  <c r="G9" i="2"/>
  <c r="H8" i="2"/>
  <c r="G8" i="2"/>
  <c r="H7" i="2"/>
  <c r="I7" i="2" s="1"/>
  <c r="G7" i="2"/>
  <c r="H6" i="2"/>
  <c r="I6" i="2" s="1"/>
  <c r="G6" i="2"/>
  <c r="H5" i="2"/>
  <c r="G5" i="2"/>
  <c r="H4" i="2"/>
  <c r="G4" i="2"/>
  <c r="H3" i="2"/>
  <c r="I3" i="2" s="1"/>
  <c r="G3" i="2"/>
  <c r="H2" i="2"/>
  <c r="I2" i="2" s="1"/>
  <c r="M2" i="2" s="1"/>
  <c r="G2" i="2"/>
  <c r="R11" i="6"/>
  <c r="R12" i="6"/>
  <c r="S10" i="6"/>
  <c r="S11" i="6"/>
  <c r="I5" i="6"/>
  <c r="I6" i="6"/>
  <c r="F18" i="5"/>
  <c r="S12" i="6"/>
  <c r="R10" i="6"/>
  <c r="Q8" i="10" l="1"/>
  <c r="Q10" i="10" s="1"/>
  <c r="R8" i="10"/>
  <c r="I16" i="2"/>
  <c r="M16" i="2" s="1"/>
  <c r="I8" i="2"/>
  <c r="I14" i="2"/>
  <c r="I10" i="2"/>
  <c r="I5" i="2"/>
  <c r="J5" i="2" s="1"/>
  <c r="K5" i="2" s="1"/>
  <c r="I13" i="2"/>
  <c r="J13" i="2" s="1"/>
  <c r="K13" i="2" s="1"/>
  <c r="I9" i="2"/>
  <c r="M9" i="2" s="1"/>
  <c r="I4" i="2"/>
  <c r="J4" i="2" s="1"/>
  <c r="K4" i="2" s="1"/>
  <c r="I12" i="2"/>
  <c r="M12" i="2" s="1"/>
  <c r="N12" i="2" s="1"/>
  <c r="O12" i="2" s="1"/>
  <c r="L11" i="1" s="1"/>
  <c r="M15" i="2"/>
  <c r="N15" i="2" s="1"/>
  <c r="O15" i="2" s="1"/>
  <c r="L14" i="1" s="1"/>
  <c r="M7" i="2"/>
  <c r="N7" i="2" s="1"/>
  <c r="O7" i="2" s="1"/>
  <c r="L6" i="1" s="1"/>
  <c r="M3" i="2"/>
  <c r="R10" i="10"/>
  <c r="I8" i="6"/>
  <c r="N6" i="6"/>
  <c r="M8" i="2"/>
  <c r="J8" i="2"/>
  <c r="K8" i="2" s="1"/>
  <c r="M11" i="2"/>
  <c r="J11" i="2"/>
  <c r="K11" i="2" s="1"/>
  <c r="J6" i="2"/>
  <c r="K6" i="2" s="1"/>
  <c r="M6" i="2"/>
  <c r="J2" i="2"/>
  <c r="K2" i="2" s="1"/>
  <c r="P2" i="2" s="1"/>
  <c r="J3" i="2"/>
  <c r="K3" i="2" s="1"/>
  <c r="M10" i="2"/>
  <c r="J10" i="2"/>
  <c r="K10" i="2" s="1"/>
  <c r="J14" i="2"/>
  <c r="K14" i="2" s="1"/>
  <c r="M14" i="2"/>
  <c r="M5" i="2"/>
  <c r="J7" i="2"/>
  <c r="K7" i="2" s="1"/>
  <c r="J15" i="2"/>
  <c r="K15" i="2" s="1"/>
  <c r="P5" i="2" l="1"/>
  <c r="J9" i="2"/>
  <c r="K9" i="2" s="1"/>
  <c r="M13" i="2"/>
  <c r="P7" i="2"/>
  <c r="P15" i="2"/>
  <c r="J12" i="2"/>
  <c r="K12" i="2" s="1"/>
  <c r="P13" i="2"/>
  <c r="J16" i="2"/>
  <c r="K16" i="2" s="1"/>
  <c r="P16" i="2" s="1"/>
  <c r="P3" i="2"/>
  <c r="P14" i="2"/>
  <c r="M4" i="2"/>
  <c r="P4" i="2" s="1"/>
  <c r="P9" i="2"/>
  <c r="P10" i="2"/>
  <c r="P6" i="2"/>
  <c r="P8" i="2"/>
  <c r="P11" i="2"/>
  <c r="P12" i="2"/>
  <c r="N7" i="6"/>
  <c r="M6" i="6"/>
  <c r="N2" i="2"/>
  <c r="O2" i="2" s="1"/>
  <c r="N8" i="2"/>
  <c r="O8" i="2" s="1"/>
  <c r="L7" i="1" s="1"/>
  <c r="N10" i="2"/>
  <c r="O10" i="2" s="1"/>
  <c r="L9" i="1" s="1"/>
  <c r="N13" i="2"/>
  <c r="O13" i="2" s="1"/>
  <c r="L12" i="1" s="1"/>
  <c r="N9" i="2"/>
  <c r="O9" i="2" s="1"/>
  <c r="L8" i="1" s="1"/>
  <c r="N3" i="2"/>
  <c r="O3" i="2" s="1"/>
  <c r="N5" i="2"/>
  <c r="O5" i="2" s="1"/>
  <c r="L4" i="1" s="1"/>
  <c r="N16" i="2"/>
  <c r="O16" i="2" s="1"/>
  <c r="L15" i="1" s="1"/>
  <c r="N11" i="2"/>
  <c r="O11" i="2" s="1"/>
  <c r="L10" i="1" s="1"/>
  <c r="N6" i="2"/>
  <c r="O6" i="2" s="1"/>
  <c r="L5" i="1" s="1"/>
  <c r="N14" i="2"/>
  <c r="O14" i="2" s="1"/>
  <c r="L13" i="1" s="1"/>
  <c r="N4" i="2" l="1"/>
  <c r="O4" i="2" s="1"/>
  <c r="L3" i="1" s="1"/>
  <c r="L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388D2F1-1653-4202-9122-F4D57FF5D54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C293FDC-DA04-45AF-B223-4826AA72A347}" name="WorksheetConnection_تحليل مالي استاذ ياسر.xlsx!Table1" type="102" refreshedVersion="8" minRefreshableVersion="5">
    <extLst>
      <ext xmlns:x15="http://schemas.microsoft.com/office/spreadsheetml/2010/11/main" uri="{DE250136-89BD-433C-8126-D09CA5730AF9}">
        <x15:connection id="Table1" autoDelete="1">
          <x15:rangePr sourceName="_xlcn.WorksheetConnection_تحليلمالياستاذياسر.xlsxTable11"/>
        </x15:connection>
      </ext>
    </extLst>
  </connection>
  <connection id="3" xr16:uid="{6239CCF5-9AA9-4B91-9396-7AAF3CD26A1B}" name="WorksheetConnection_تحليل مالي استاذ ياسر.xlsx!Table2" type="102" refreshedVersion="8" minRefreshableVersion="5">
    <extLst>
      <ext xmlns:x15="http://schemas.microsoft.com/office/spreadsheetml/2010/11/main" uri="{DE250136-89BD-433C-8126-D09CA5730AF9}">
        <x15:connection id="Table2" autoDelete="1">
          <x15:rangePr sourceName="_xlcn.WorksheetConnection_تحليلمالياستاذياسر.xlsxTable21"/>
        </x15:connection>
      </ext>
    </extLst>
  </connection>
</connections>
</file>

<file path=xl/sharedStrings.xml><?xml version="1.0" encoding="utf-8"?>
<sst xmlns="http://schemas.openxmlformats.org/spreadsheetml/2006/main" count="343" uniqueCount="116">
  <si>
    <t>اسم المشروع</t>
  </si>
  <si>
    <t>الجهة الحكومية</t>
  </si>
  <si>
    <t>المنطقة</t>
  </si>
  <si>
    <t>رقم المناقصة</t>
  </si>
  <si>
    <t>تفاصيل المناقصة</t>
  </si>
  <si>
    <t>تاريخ بداية التقديم</t>
  </si>
  <si>
    <t>تاريخ انتهاء التقديم</t>
  </si>
  <si>
    <t>قيمة المشروع</t>
  </si>
  <si>
    <t>الفرق</t>
  </si>
  <si>
    <t>نسبة الربحية المتوقعة</t>
  </si>
  <si>
    <t>حفل تخريج الدفعة 65</t>
  </si>
  <si>
    <t>وزارة التعليم</t>
  </si>
  <si>
    <t>الرياض</t>
  </si>
  <si>
    <t>تغطية الحفل وتجهيز المكان</t>
  </si>
  <si>
    <t>حفل تخريج الدفعة 66</t>
  </si>
  <si>
    <t>وزارة الصحة</t>
  </si>
  <si>
    <t>جدة</t>
  </si>
  <si>
    <t>التجعيز</t>
  </si>
  <si>
    <t>حفل تخريج الدفعة 67</t>
  </si>
  <si>
    <t>المدينة</t>
  </si>
  <si>
    <t>حفل تخريج الدفعة 68</t>
  </si>
  <si>
    <t>حفل تخريج الدفعة 69</t>
  </si>
  <si>
    <t>حفل تخريج الدفعة 70</t>
  </si>
  <si>
    <t>حفل تخريج الدفعة 71</t>
  </si>
  <si>
    <t>حفل تخريج الدفعة 72</t>
  </si>
  <si>
    <t>حفل تخريج الدفعة 73</t>
  </si>
  <si>
    <t>حفل تخريج الدفعة 74</t>
  </si>
  <si>
    <t>حفل تخريج الدفعة 75</t>
  </si>
  <si>
    <t>حفل تخريج الدفعة 76</t>
  </si>
  <si>
    <t>وزارة الشباب</t>
  </si>
  <si>
    <t>حفل تخريج الدفعة 77</t>
  </si>
  <si>
    <t>حفل تخريج الدفعة 78</t>
  </si>
  <si>
    <t>المخرج</t>
  </si>
  <si>
    <t xml:space="preserve">الوحدة </t>
  </si>
  <si>
    <t>تكلفة الحبة اللواحدة</t>
  </si>
  <si>
    <t>المخاطرة 10% ( تحسب تلقائيا )</t>
  </si>
  <si>
    <t>ضريبة المنتج الواحد</t>
  </si>
  <si>
    <t>الإجمالي للبيع</t>
  </si>
  <si>
    <t>الكمية</t>
  </si>
  <si>
    <t>اجمالي بدون ضريبة</t>
  </si>
  <si>
    <t>ضريبة</t>
  </si>
  <si>
    <t>الإجمالي مع الضريبة</t>
  </si>
  <si>
    <t>اجمالي الربح</t>
  </si>
  <si>
    <t>تقرير</t>
  </si>
  <si>
    <t>مطبوع</t>
  </si>
  <si>
    <t>فيديو</t>
  </si>
  <si>
    <t>فلم</t>
  </si>
  <si>
    <t>Row Labels</t>
  </si>
  <si>
    <t>Grand Total</t>
  </si>
  <si>
    <t>2024</t>
  </si>
  <si>
    <t>Jan</t>
  </si>
  <si>
    <t>2025</t>
  </si>
  <si>
    <t>Column Labels</t>
  </si>
  <si>
    <t>Count of اسم المشروع</t>
  </si>
  <si>
    <t>عدد الجهات الحكومية</t>
  </si>
  <si>
    <t>Distinct Count of الجهة الحكومية</t>
  </si>
  <si>
    <t>Sum of قيمة المشروع</t>
  </si>
  <si>
    <t>Sum of نسبة الربحية المتوقعة</t>
  </si>
  <si>
    <t>نسبة الربحية</t>
  </si>
  <si>
    <t>نسبة الربح</t>
  </si>
  <si>
    <t>الربحية</t>
  </si>
  <si>
    <t>عدد المشروعات</t>
  </si>
  <si>
    <t>إجمالي البيع بدون ضريبة</t>
  </si>
  <si>
    <t>الضريبة</t>
  </si>
  <si>
    <t>إجمالي البيع مع الضريبة</t>
  </si>
  <si>
    <t>إجمالي الربح</t>
  </si>
  <si>
    <t>تكلفة الحبة الواحدة</t>
  </si>
  <si>
    <t>المخاطرة 10%</t>
  </si>
  <si>
    <t>التكاليف  التشغيلية 20%</t>
  </si>
  <si>
    <t>إجمالي التكاليف ( بعد الضرائب )</t>
  </si>
  <si>
    <t>Distinct Count of اسم المشروع2</t>
  </si>
  <si>
    <t xml:space="preserve"> تكلفة الحبة اللواحدة</t>
  </si>
  <si>
    <t>ضرائب المنتج الواحد</t>
  </si>
  <si>
    <t>إجمالي التكاليف بالضرائب</t>
  </si>
  <si>
    <t>التكاليف</t>
  </si>
  <si>
    <t>المبيعات</t>
  </si>
  <si>
    <t xml:space="preserve">الكمية </t>
  </si>
  <si>
    <t>الإجمالي بدون الضرائب</t>
  </si>
  <si>
    <t xml:space="preserve">إجمالي الربح </t>
  </si>
  <si>
    <t xml:space="preserve"> الإجمالي بالضرائب </t>
  </si>
  <si>
    <t>عدد المشاريع</t>
  </si>
  <si>
    <t>إجمالي الربح من الجهة</t>
  </si>
  <si>
    <t>(All)</t>
  </si>
  <si>
    <t>الجهات والمناطق</t>
  </si>
  <si>
    <t xml:space="preserve">قيمة المشروع </t>
  </si>
  <si>
    <t xml:space="preserve">نسبة الربحية المتوقعة </t>
  </si>
  <si>
    <t>الشهور والأعوام</t>
  </si>
  <si>
    <t>شهر التقديم</t>
  </si>
  <si>
    <t>سنة التقديم</t>
  </si>
  <si>
    <t>قيمة الكراسة</t>
  </si>
  <si>
    <t>حالة المشروع</t>
  </si>
  <si>
    <t>مقبول</t>
  </si>
  <si>
    <t>مرفوض</t>
  </si>
  <si>
    <t>Count of حالة المشروع</t>
  </si>
  <si>
    <t>Sum of قيمة الكراسة</t>
  </si>
  <si>
    <t>قيمة الكراسات</t>
  </si>
  <si>
    <t>العدد</t>
  </si>
  <si>
    <t>القيمة</t>
  </si>
  <si>
    <t>العقود اقل من 500 الف</t>
  </si>
  <si>
    <t>العقود أعلي من 500 الف</t>
  </si>
  <si>
    <t>قيمة الربح</t>
  </si>
  <si>
    <t>Sum of قيمة الربح</t>
  </si>
  <si>
    <t>العقود اقل من 500</t>
  </si>
  <si>
    <t>العقود اعلي من 500</t>
  </si>
  <si>
    <t>ربحية العقود اقل من 500 الف</t>
  </si>
  <si>
    <t>ربحية العقود أعلي من 500 الف</t>
  </si>
  <si>
    <t>إجمالي العقود</t>
  </si>
  <si>
    <t>تفاصيل العقود</t>
  </si>
  <si>
    <t>قيمة العمولات</t>
  </si>
  <si>
    <t>إجمالي التكاليف</t>
  </si>
  <si>
    <t>إجمالي التكاليف للحبة الواحدة</t>
  </si>
  <si>
    <t>Sep</t>
  </si>
  <si>
    <t>May</t>
  </si>
  <si>
    <t>Aug</t>
  </si>
  <si>
    <t>Oct</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</si>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</sst>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0.00_-;\-* #,##0.00_-;_-* &quot;-&quot;??_-;_-@_-"/>
    <numFmt numFmtId="165" formatCode="#,##0.0"/>
  </numFmts>
  <fonts count="24">
    <font>
      <sz val="11"/>
      <color theme="1"/>
      <name val="Calibri"/>
      <family val="2"/>
      <scheme val="minor"/>
    </font>
    <font>
      <b/>
      <sz val="16"/>
      <color theme="0"/>
      <name val="Calibri"/>
      <family val="2"/>
      <scheme val="minor"/>
    </font>
    <font>
      <b/>
      <sz val="12"/>
      <color theme="0"/>
      <name val="Calibri"/>
      <family val="2"/>
      <scheme val="minor"/>
    </font>
    <font>
      <sz val="12"/>
      <color theme="1"/>
      <name val="Calibri"/>
      <family val="2"/>
      <scheme val="minor"/>
    </font>
    <font>
      <sz val="12"/>
      <name val="Calibri"/>
      <family val="2"/>
      <scheme val="minor"/>
    </font>
    <font>
      <sz val="8"/>
      <name val="Calibri"/>
      <family val="2"/>
      <scheme val="minor"/>
    </font>
    <font>
      <b/>
      <sz val="18"/>
      <color theme="0"/>
      <name val="Calibri"/>
      <family val="2"/>
      <scheme val="minor"/>
    </font>
    <font>
      <b/>
      <sz val="36"/>
      <color theme="0"/>
      <name val="Calibri"/>
      <family val="2"/>
      <scheme val="minor"/>
    </font>
    <font>
      <sz val="9"/>
      <color theme="1"/>
      <name val="Calibri"/>
      <family val="2"/>
      <scheme val="minor"/>
    </font>
    <font>
      <b/>
      <sz val="14"/>
      <color theme="0"/>
      <name val="Aptos Narrow"/>
      <family val="2"/>
    </font>
    <font>
      <b/>
      <sz val="20"/>
      <color theme="0"/>
      <name val="Aptos Narrow"/>
      <family val="2"/>
    </font>
    <font>
      <b/>
      <sz val="20"/>
      <color theme="0"/>
      <name val="Aptos Narrow"/>
    </font>
    <font>
      <b/>
      <sz val="22"/>
      <color theme="0"/>
      <name val="Calibri"/>
      <family val="2"/>
      <scheme val="minor"/>
    </font>
    <font>
      <b/>
      <sz val="16"/>
      <color theme="0"/>
      <name val="Aptos Narrow"/>
      <family val="2"/>
    </font>
    <font>
      <sz val="10"/>
      <color theme="1"/>
      <name val="Arial Unicode MS"/>
    </font>
    <font>
      <sz val="11"/>
      <color theme="1"/>
      <name val="Calibri"/>
      <family val="2"/>
      <scheme val="minor"/>
    </font>
    <font>
      <b/>
      <sz val="18"/>
      <color theme="9"/>
      <name val="Calibri"/>
      <family val="2"/>
      <scheme val="minor"/>
    </font>
    <font>
      <sz val="20"/>
      <color theme="0"/>
      <name val="Aptos Narrow"/>
    </font>
    <font>
      <sz val="16"/>
      <color theme="0"/>
      <name val="Aptos Narrow"/>
    </font>
    <font>
      <b/>
      <sz val="16"/>
      <color theme="0"/>
      <name val="Aptos Narrow"/>
    </font>
    <font>
      <b/>
      <sz val="18"/>
      <color theme="0"/>
      <name val="Aptos Narrow"/>
    </font>
    <font>
      <sz val="18"/>
      <color theme="0"/>
      <name val="Aptos Narrow"/>
    </font>
    <font>
      <b/>
      <sz val="14"/>
      <color theme="0"/>
      <name val="Aptos Narrow"/>
    </font>
    <font>
      <b/>
      <sz val="12"/>
      <color theme="0"/>
      <name val="Aptos Narrow"/>
    </font>
  </fonts>
  <fills count="13">
    <fill>
      <patternFill patternType="none"/>
    </fill>
    <fill>
      <patternFill patternType="gray125"/>
    </fill>
    <fill>
      <patternFill patternType="solid">
        <fgColor theme="2" tint="-0.89999084444715716"/>
        <bgColor indexed="64"/>
      </patternFill>
    </fill>
    <fill>
      <patternFill patternType="solid">
        <fgColor theme="4" tint="0.79998168889431442"/>
        <bgColor theme="4" tint="0.79998168889431442"/>
      </patternFill>
    </fill>
    <fill>
      <patternFill patternType="solid">
        <fgColor rgb="FFFFC000"/>
        <bgColor indexed="64"/>
      </patternFill>
    </fill>
    <fill>
      <patternFill patternType="solid">
        <fgColor theme="3" tint="-0.499984740745262"/>
        <bgColor indexed="64"/>
      </patternFill>
    </fill>
    <fill>
      <patternFill patternType="solid">
        <fgColor theme="9" tint="-0.249977111117893"/>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222B35"/>
        <bgColor indexed="64"/>
      </patternFill>
    </fill>
    <fill>
      <patternFill patternType="solid">
        <fgColor theme="3"/>
        <bgColor indexed="64"/>
      </patternFill>
    </fill>
    <fill>
      <patternFill patternType="solid">
        <fgColor theme="2" tint="-9.9978637043366805E-2"/>
        <bgColor indexed="64"/>
      </patternFill>
    </fill>
  </fills>
  <borders count="12">
    <border>
      <left/>
      <right/>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indexed="64"/>
      </left>
      <right/>
      <top style="thin">
        <color indexed="64"/>
      </top>
      <bottom/>
      <diagonal/>
    </border>
    <border>
      <left style="thin">
        <color indexed="64"/>
      </left>
      <right/>
      <top style="thin">
        <color theme="4" tint="0.39997558519241921"/>
      </top>
      <bottom/>
      <diagonal/>
    </border>
    <border>
      <left style="thin">
        <color theme="4" tint="0.39997558519241921"/>
      </left>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top style="thin">
        <color theme="4" tint="0.39997558519241921"/>
      </top>
      <bottom style="thin">
        <color theme="4" tint="0.39997558519241921"/>
      </bottom>
      <diagonal/>
    </border>
    <border>
      <left style="thin">
        <color indexed="64"/>
      </left>
      <right/>
      <top/>
      <bottom/>
      <diagonal/>
    </border>
  </borders>
  <cellStyleXfs count="2">
    <xf numFmtId="0" fontId="0" fillId="0" borderId="0"/>
    <xf numFmtId="164" fontId="15" fillId="0" borderId="0" applyFont="0" applyFill="0" applyBorder="0" applyAlignment="0" applyProtection="0"/>
  </cellStyleXfs>
  <cellXfs count="72">
    <xf numFmtId="0" fontId="0" fillId="0" borderId="0" xfId="0"/>
    <xf numFmtId="0" fontId="0" fillId="3" borderId="1" xfId="0" applyFill="1" applyBorder="1" applyAlignment="1">
      <alignment horizontal="center" vertical="center"/>
    </xf>
    <xf numFmtId="0" fontId="0" fillId="3" borderId="2" xfId="0" applyFill="1" applyBorder="1" applyAlignment="1">
      <alignment horizontal="center" vertical="center"/>
    </xf>
    <xf numFmtId="14" fontId="0" fillId="3" borderId="2" xfId="0" applyNumberFormat="1" applyFill="1"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14" fontId="0" fillId="0" borderId="2" xfId="0" applyNumberFormat="1" applyBorder="1" applyAlignment="1">
      <alignment horizontal="center" vertical="center"/>
    </xf>
    <xf numFmtId="0" fontId="2" fillId="4" borderId="5" xfId="0" applyFont="1" applyFill="1" applyBorder="1" applyAlignment="1">
      <alignment horizontal="center" vertical="center"/>
    </xf>
    <xf numFmtId="0" fontId="2" fillId="5" borderId="6" xfId="0" applyFont="1" applyFill="1" applyBorder="1" applyAlignment="1">
      <alignment horizontal="center" vertical="center"/>
    </xf>
    <xf numFmtId="0" fontId="2" fillId="6" borderId="6" xfId="0" applyFont="1" applyFill="1" applyBorder="1" applyAlignment="1">
      <alignment horizontal="center" vertical="center"/>
    </xf>
    <xf numFmtId="0" fontId="0" fillId="3" borderId="7" xfId="0" applyFill="1" applyBorder="1" applyAlignment="1">
      <alignment horizontal="center" vertical="center"/>
    </xf>
    <xf numFmtId="0" fontId="0" fillId="3" borderId="8" xfId="0" applyFill="1" applyBorder="1" applyAlignment="1">
      <alignment horizontal="center" vertical="center"/>
    </xf>
    <xf numFmtId="0" fontId="3" fillId="7" borderId="5" xfId="0" applyFont="1" applyFill="1" applyBorder="1" applyAlignment="1">
      <alignment horizontal="center" vertical="center"/>
    </xf>
    <xf numFmtId="3" fontId="3" fillId="7" borderId="5" xfId="0" applyNumberFormat="1" applyFont="1" applyFill="1" applyBorder="1" applyAlignment="1">
      <alignment horizontal="center" vertical="center"/>
    </xf>
    <xf numFmtId="3" fontId="3" fillId="8" borderId="5" xfId="0" applyNumberFormat="1" applyFont="1" applyFill="1" applyBorder="1" applyAlignment="1">
      <alignment horizontal="center" vertical="center"/>
    </xf>
    <xf numFmtId="4" fontId="3" fillId="8" borderId="5" xfId="0" applyNumberFormat="1" applyFont="1" applyFill="1" applyBorder="1" applyAlignment="1">
      <alignment horizontal="center" vertical="center"/>
    </xf>
    <xf numFmtId="3" fontId="4" fillId="9" borderId="5" xfId="0" applyNumberFormat="1" applyFont="1" applyFill="1" applyBorder="1" applyAlignment="1">
      <alignment horizontal="center" vertical="center"/>
    </xf>
    <xf numFmtId="3" fontId="3" fillId="9" borderId="5" xfId="0" applyNumberFormat="1" applyFont="1" applyFill="1" applyBorder="1" applyAlignment="1">
      <alignment horizontal="center" vertical="center"/>
    </xf>
    <xf numFmtId="165" fontId="3" fillId="9" borderId="5" xfId="0" applyNumberFormat="1" applyFont="1" applyFill="1" applyBorder="1" applyAlignment="1">
      <alignment horizontal="center" vertical="center"/>
    </xf>
    <xf numFmtId="4" fontId="3" fillId="9" borderId="5" xfId="0" applyNumberFormat="1" applyFont="1" applyFill="1" applyBorder="1" applyAlignment="1">
      <alignment horizontal="center" vertical="center"/>
    </xf>
    <xf numFmtId="3" fontId="3" fillId="8" borderId="6" xfId="0" applyNumberFormat="1" applyFont="1"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3" fillId="7" borderId="9" xfId="0" applyFont="1" applyFill="1" applyBorder="1" applyAlignment="1">
      <alignment horizontal="center" vertical="center"/>
    </xf>
    <xf numFmtId="3" fontId="3" fillId="7" borderId="9" xfId="0" applyNumberFormat="1" applyFont="1" applyFill="1" applyBorder="1" applyAlignment="1">
      <alignment horizontal="center" vertical="center"/>
    </xf>
    <xf numFmtId="3" fontId="3" fillId="8" borderId="10" xfId="0" applyNumberFormat="1" applyFont="1" applyFill="1" applyBorder="1" applyAlignment="1">
      <alignment horizontal="center" vertical="center"/>
    </xf>
    <xf numFmtId="3" fontId="3" fillId="8" borderId="9" xfId="0" applyNumberFormat="1" applyFont="1" applyFill="1" applyBorder="1" applyAlignment="1">
      <alignment horizontal="center" vertical="center"/>
    </xf>
    <xf numFmtId="4" fontId="3" fillId="8" borderId="9" xfId="0" applyNumberFormat="1" applyFont="1" applyFill="1" applyBorder="1" applyAlignment="1">
      <alignment horizontal="center" vertical="center"/>
    </xf>
    <xf numFmtId="3" fontId="4" fillId="9" borderId="9" xfId="0" applyNumberFormat="1" applyFont="1" applyFill="1" applyBorder="1" applyAlignment="1">
      <alignment horizontal="center" vertical="center"/>
    </xf>
    <xf numFmtId="3" fontId="3" fillId="9" borderId="9" xfId="0" applyNumberFormat="1" applyFont="1" applyFill="1" applyBorder="1" applyAlignment="1">
      <alignment horizontal="center" vertical="center"/>
    </xf>
    <xf numFmtId="165" fontId="3" fillId="9" borderId="9" xfId="0" applyNumberFormat="1" applyFont="1" applyFill="1" applyBorder="1" applyAlignment="1">
      <alignment horizontal="center" vertical="center"/>
    </xf>
    <xf numFmtId="4" fontId="3" fillId="9" borderId="9" xfId="0" applyNumberFormat="1" applyFont="1" applyFill="1" applyBorder="1" applyAlignment="1">
      <alignment horizontal="center" vertical="center"/>
    </xf>
    <xf numFmtId="0" fontId="1" fillId="2" borderId="0" xfId="0" applyFont="1" applyFill="1" applyAlignment="1">
      <alignment horizontal="center" vertical="center"/>
    </xf>
    <xf numFmtId="14" fontId="1" fillId="2" borderId="0" xfId="0" applyNumberFormat="1" applyFont="1" applyFill="1" applyAlignment="1">
      <alignment horizontal="center" vertical="center"/>
    </xf>
    <xf numFmtId="0" fontId="2" fillId="6" borderId="1" xfId="0" applyFont="1" applyFill="1" applyBorder="1" applyAlignment="1">
      <alignment horizontal="center" vertical="center"/>
    </xf>
    <xf numFmtId="4" fontId="3" fillId="9" borderId="1" xfId="0" applyNumberFormat="1" applyFont="1" applyFill="1" applyBorder="1" applyAlignment="1">
      <alignment horizontal="center" vertical="center"/>
    </xf>
    <xf numFmtId="0" fontId="0" fillId="10" borderId="0" xfId="0" applyFill="1"/>
    <xf numFmtId="0" fontId="0" fillId="0" borderId="0" xfId="0" pivotButton="1"/>
    <xf numFmtId="0" fontId="0" fillId="0" borderId="0" xfId="0" applyAlignment="1">
      <alignment horizontal="left"/>
    </xf>
    <xf numFmtId="10" fontId="0" fillId="0" borderId="0" xfId="0" applyNumberFormat="1"/>
    <xf numFmtId="0" fontId="3" fillId="8" borderId="5" xfId="0" applyFont="1" applyFill="1" applyBorder="1" applyAlignment="1">
      <alignment horizontal="center" vertical="center"/>
    </xf>
    <xf numFmtId="0" fontId="6" fillId="10" borderId="0" xfId="0" applyFont="1" applyFill="1" applyAlignment="1">
      <alignment horizontal="center" vertical="center"/>
    </xf>
    <xf numFmtId="0" fontId="6" fillId="10" borderId="0" xfId="0" applyFont="1" applyFill="1" applyAlignment="1">
      <alignment vertical="center"/>
    </xf>
    <xf numFmtId="0" fontId="9" fillId="10" borderId="0" xfId="0" applyFont="1" applyFill="1" applyAlignment="1">
      <alignment horizontal="center" wrapText="1"/>
    </xf>
    <xf numFmtId="0" fontId="10" fillId="10" borderId="0" xfId="0" applyFont="1" applyFill="1" applyAlignment="1">
      <alignment horizontal="center" vertical="center" wrapText="1"/>
    </xf>
    <xf numFmtId="0" fontId="0" fillId="3" borderId="0" xfId="0" applyFill="1" applyAlignment="1">
      <alignment horizontal="center" vertical="center"/>
    </xf>
    <xf numFmtId="0" fontId="3" fillId="8" borderId="0" xfId="0" applyFont="1" applyFill="1" applyAlignment="1">
      <alignment horizontal="center" vertical="center"/>
    </xf>
    <xf numFmtId="0" fontId="11" fillId="10" borderId="0" xfId="0" applyFont="1" applyFill="1" applyAlignment="1">
      <alignment horizontal="center" vertical="center" wrapText="1"/>
    </xf>
    <xf numFmtId="0" fontId="10" fillId="10" borderId="0" xfId="0" applyFont="1" applyFill="1" applyAlignment="1">
      <alignment horizontal="center" wrapText="1"/>
    </xf>
    <xf numFmtId="0" fontId="0" fillId="0" borderId="0" xfId="0" applyAlignment="1">
      <alignment horizontal="right"/>
    </xf>
    <xf numFmtId="0" fontId="0" fillId="0" borderId="0" xfId="0" applyAlignment="1">
      <alignment horizontal="center" vertical="center"/>
    </xf>
    <xf numFmtId="0" fontId="13" fillId="10" borderId="0" xfId="0" applyFont="1" applyFill="1" applyAlignment="1">
      <alignment horizontal="center" vertical="center" wrapText="1"/>
    </xf>
    <xf numFmtId="0" fontId="0" fillId="0" borderId="0" xfId="0" applyAlignment="1">
      <alignment vertical="center" wrapText="1"/>
    </xf>
    <xf numFmtId="0" fontId="14" fillId="0" borderId="0" xfId="0" applyFont="1" applyAlignment="1">
      <alignment vertical="center" wrapText="1"/>
    </xf>
    <xf numFmtId="0" fontId="13" fillId="10" borderId="0" xfId="0" applyFont="1" applyFill="1" applyAlignment="1">
      <alignment horizontal="center" vertical="center"/>
    </xf>
    <xf numFmtId="164" fontId="6" fillId="10" borderId="0" xfId="1" applyFont="1" applyFill="1" applyAlignment="1">
      <alignment horizontal="center" vertical="center"/>
    </xf>
    <xf numFmtId="0" fontId="16" fillId="10" borderId="0" xfId="0" applyFont="1" applyFill="1" applyAlignment="1">
      <alignment horizontal="center" vertical="center"/>
    </xf>
    <xf numFmtId="164" fontId="16" fillId="10" borderId="0" xfId="1" applyFont="1" applyFill="1" applyAlignment="1">
      <alignment horizontal="center" vertical="center"/>
    </xf>
    <xf numFmtId="0" fontId="0" fillId="12" borderId="0" xfId="0" applyFill="1"/>
    <xf numFmtId="0" fontId="8" fillId="12" borderId="0" xfId="0" applyFont="1" applyFill="1"/>
    <xf numFmtId="3" fontId="3" fillId="8" borderId="11" xfId="0" applyNumberFormat="1" applyFont="1" applyFill="1" applyBorder="1" applyAlignment="1">
      <alignment horizontal="center" vertical="center"/>
    </xf>
    <xf numFmtId="0" fontId="11" fillId="10" borderId="0" xfId="0" applyFont="1" applyFill="1" applyAlignment="1">
      <alignment horizontal="right" wrapText="1"/>
    </xf>
    <xf numFmtId="0" fontId="18" fillId="10" borderId="0" xfId="0" applyFont="1" applyFill="1" applyAlignment="1">
      <alignment horizontal="center" vertical="center" wrapText="1"/>
    </xf>
    <xf numFmtId="0" fontId="20" fillId="10" borderId="0" xfId="0" applyFont="1" applyFill="1" applyAlignment="1">
      <alignment horizontal="center" vertical="center" wrapText="1"/>
    </xf>
    <xf numFmtId="0" fontId="21" fillId="10" borderId="0" xfId="0" applyFont="1" applyFill="1" applyAlignment="1">
      <alignment horizontal="center" vertical="center" wrapText="1"/>
    </xf>
    <xf numFmtId="0" fontId="19" fillId="10" borderId="0" xfId="0" applyFont="1" applyFill="1" applyAlignment="1">
      <alignment horizontal="center" vertical="center" wrapText="1"/>
    </xf>
    <xf numFmtId="0" fontId="23" fillId="10" borderId="0" xfId="0" applyFont="1" applyFill="1" applyAlignment="1">
      <alignment horizontal="center"/>
    </xf>
    <xf numFmtId="0" fontId="22" fillId="10" borderId="0" xfId="0" applyFont="1" applyFill="1" applyAlignment="1">
      <alignment horizontal="center" vertical="center" wrapText="1"/>
    </xf>
    <xf numFmtId="0" fontId="17" fillId="10" borderId="0" xfId="0" applyFont="1" applyFill="1" applyAlignment="1">
      <alignment horizontal="center" vertical="center" wrapText="1"/>
    </xf>
    <xf numFmtId="0" fontId="7" fillId="10" borderId="0" xfId="0" applyFont="1" applyFill="1" applyAlignment="1">
      <alignment horizontal="center" vertical="center"/>
    </xf>
    <xf numFmtId="0" fontId="6" fillId="10" borderId="0" xfId="0" applyFont="1" applyFill="1" applyAlignment="1">
      <alignment horizontal="center" vertical="center"/>
    </xf>
    <xf numFmtId="0" fontId="12" fillId="11" borderId="0" xfId="0" applyFont="1" applyFill="1" applyAlignment="1">
      <alignment horizontal="center" vertical="center"/>
    </xf>
  </cellXfs>
  <cellStyles count="2">
    <cellStyle name="Comma" xfId="1" builtinId="3"/>
    <cellStyle name="Normal" xfId="0" builtinId="0"/>
  </cellStyles>
  <dxfs count="510">
    <dxf>
      <fill>
        <patternFill>
          <bgColor rgb="FF00B050"/>
        </patternFill>
      </fill>
    </dxf>
    <dxf>
      <fill>
        <patternFill>
          <bgColor rgb="FFC00000"/>
        </patternFill>
      </fill>
    </dxf>
    <dxf>
      <fill>
        <patternFill>
          <bgColor rgb="FF222B35"/>
        </patternFill>
      </fill>
    </dxf>
    <dxf>
      <fill>
        <patternFill>
          <bgColor rgb="FF222B35"/>
        </patternFill>
      </fill>
    </dxf>
    <dxf>
      <fill>
        <patternFill>
          <bgColor rgb="FF222B35"/>
        </patternFill>
      </fill>
    </dxf>
    <dxf>
      <fill>
        <patternFill>
          <bgColor rgb="FF222B35"/>
        </patternFill>
      </fill>
    </dxf>
    <dxf>
      <fill>
        <patternFill>
          <bgColor rgb="FF222B35"/>
        </patternFill>
      </fill>
    </dxf>
    <dxf>
      <fill>
        <patternFill>
          <bgColor rgb="FF222B35"/>
        </patternFill>
      </fill>
    </dxf>
    <dxf>
      <font>
        <sz val="16"/>
      </font>
    </dxf>
    <dxf>
      <font>
        <b/>
      </font>
    </dxf>
    <dxf>
      <font>
        <b/>
      </font>
    </dxf>
    <dxf>
      <font>
        <sz val="18"/>
      </font>
    </dxf>
    <dxf>
      <font>
        <sz val="18"/>
      </font>
    </dxf>
    <dxf>
      <font>
        <sz val="18"/>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b/>
      </font>
    </dxf>
    <dxf>
      <font>
        <b/>
      </font>
    </dxf>
    <dxf>
      <font>
        <b/>
      </font>
    </dxf>
    <dxf>
      <font>
        <sz val="20"/>
      </font>
      <alignment horizontal="right"/>
    </dxf>
    <dxf>
      <font>
        <sz val="20"/>
      </font>
      <alignment horizontal="right"/>
    </dxf>
    <dxf>
      <font>
        <sz val="20"/>
      </font>
      <alignment horizontal="right"/>
    </dxf>
    <dxf>
      <font>
        <b/>
        <sz val="20"/>
      </font>
    </dxf>
    <dxf>
      <font>
        <b/>
        <sz val="20"/>
      </font>
    </dxf>
    <dxf>
      <alignment vertical="center"/>
    </dxf>
    <dxf>
      <alignment vertical="center"/>
    </dxf>
    <dxf>
      <font>
        <sz val="16"/>
      </font>
    </dxf>
    <dxf>
      <font>
        <sz val="16"/>
      </font>
    </dxf>
    <dxf>
      <font>
        <sz val="16"/>
      </font>
    </dxf>
    <dxf>
      <alignment horizontal="center"/>
    </dxf>
    <dxf>
      <alignment horizontal="center"/>
    </dxf>
    <dxf>
      <alignment horizontal="center"/>
    </dxf>
    <dxf>
      <font>
        <b val="0"/>
      </font>
    </dxf>
    <dxf>
      <font>
        <b val="0"/>
      </font>
    </dxf>
    <dxf>
      <font>
        <b val="0"/>
      </font>
    </dxf>
    <dxf>
      <font>
        <b val="0"/>
      </font>
    </dxf>
    <dxf>
      <font>
        <b val="0"/>
      </font>
    </dxf>
    <dxf>
      <font>
        <b val="0"/>
      </font>
    </dxf>
    <dxf>
      <font>
        <sz val="11"/>
      </font>
    </dxf>
    <dxf>
      <font>
        <sz val="11"/>
      </font>
    </dxf>
    <dxf>
      <font>
        <sz val="11"/>
      </font>
    </dxf>
    <dxf>
      <alignment wrapText="1"/>
    </dxf>
    <dxf>
      <alignment wrapText="1"/>
    </dxf>
    <dxf>
      <alignment wrapText="1"/>
    </dxf>
    <dxf>
      <alignment wrapText="1"/>
    </dxf>
    <dxf>
      <alignment wrapText="1"/>
    </dxf>
    <dxf>
      <alignment wrapText="1"/>
    </dxf>
    <dxf>
      <font>
        <b/>
      </font>
    </dxf>
    <dxf>
      <font>
        <b/>
      </font>
    </dxf>
    <dxf>
      <font>
        <b/>
      </font>
    </dxf>
    <dxf>
      <font>
        <b/>
      </font>
    </dxf>
    <dxf>
      <font>
        <b/>
      </font>
    </dxf>
    <dxf>
      <font>
        <b/>
      </font>
    </dxf>
    <dxf>
      <font>
        <sz val="20"/>
      </font>
    </dxf>
    <dxf>
      <font>
        <sz val="20"/>
      </font>
    </dxf>
    <dxf>
      <font>
        <sz val="20"/>
      </font>
    </dxf>
    <dxf>
      <font>
        <sz val="20"/>
      </font>
    </dxf>
    <dxf>
      <font>
        <color theme="0"/>
      </font>
    </dxf>
    <dxf>
      <font>
        <color theme="0"/>
      </font>
    </dxf>
    <dxf>
      <font>
        <color theme="0"/>
      </font>
    </dxf>
    <dxf>
      <font>
        <color theme="0"/>
      </font>
    </dxf>
    <dxf>
      <font>
        <color theme="0"/>
      </font>
    </dxf>
    <dxf>
      <font>
        <color theme="0"/>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ill>
        <patternFill patternType="solid">
          <bgColor rgb="FF222B35"/>
        </patternFill>
      </fill>
    </dxf>
    <dxf>
      <fill>
        <patternFill patternType="solid">
          <bgColor rgb="FF222B35"/>
        </patternFill>
      </fill>
    </dxf>
    <dxf>
      <fill>
        <patternFill patternType="solid">
          <bgColor rgb="FF222B35"/>
        </patternFill>
      </fill>
    </dxf>
    <dxf>
      <fill>
        <patternFill patternType="solid">
          <bgColor rgb="FF222B35"/>
        </patternFill>
      </fill>
    </dxf>
    <dxf>
      <fill>
        <patternFill patternType="solid">
          <bgColor rgb="FF222B35"/>
        </patternFill>
      </fill>
    </dxf>
    <dxf>
      <fill>
        <patternFill patternType="solid">
          <bgColor rgb="FF222B35"/>
        </patternFill>
      </fill>
    </dxf>
    <dxf>
      <fill>
        <patternFill>
          <bgColor rgb="FF222B35"/>
        </patternFill>
      </fill>
    </dxf>
    <dxf>
      <fill>
        <patternFill>
          <bgColor rgb="FF222B35"/>
        </patternFill>
      </fill>
    </dxf>
    <dxf>
      <fill>
        <patternFill>
          <bgColor rgb="FF222B35"/>
        </patternFill>
      </fill>
    </dxf>
    <dxf>
      <fill>
        <patternFill>
          <bgColor rgb="FF222B35"/>
        </patternFill>
      </fill>
    </dxf>
    <dxf>
      <fill>
        <patternFill>
          <bgColor rgb="FF222B35"/>
        </patternFill>
      </fill>
    </dxf>
    <dxf>
      <fill>
        <patternFill>
          <bgColor rgb="FF222B35"/>
        </patternFill>
      </fill>
    </dxf>
    <dxf>
      <fill>
        <patternFill>
          <bgColor rgb="FF222B35"/>
        </patternFill>
      </fill>
    </dxf>
    <dxf>
      <font>
        <sz val="20"/>
      </font>
      <alignment horizontal="right" wrapText="1"/>
    </dxf>
    <dxf>
      <font>
        <sz val="20"/>
      </font>
      <alignment horizontal="right" wrapText="1"/>
    </dxf>
    <dxf>
      <font>
        <sz val="20"/>
      </font>
      <alignment horizontal="right" wrapText="1"/>
    </dxf>
    <dxf>
      <font>
        <sz val="20"/>
      </font>
    </dxf>
    <dxf>
      <font>
        <sz val="20"/>
      </font>
    </dxf>
    <dxf>
      <font>
        <sz val="20"/>
      </font>
    </dxf>
    <dxf>
      <alignment horizontal="center"/>
    </dxf>
    <dxf>
      <alignment horizontal="center"/>
    </dxf>
    <dxf>
      <alignment horizontal="center"/>
    </dxf>
    <dxf>
      <font>
        <sz val="20"/>
      </font>
    </dxf>
    <dxf>
      <font>
        <sz val="20"/>
      </font>
    </dxf>
    <dxf>
      <font>
        <sz val="20"/>
      </font>
    </dxf>
    <dxf>
      <alignment vertical="center"/>
    </dxf>
    <dxf>
      <alignment vertical="center"/>
    </dxf>
    <dxf>
      <alignment vertical="center"/>
    </dxf>
    <dxf>
      <alignment wrapText="1"/>
    </dxf>
    <dxf>
      <alignment wrapText="1"/>
    </dxf>
    <dxf>
      <alignment wrapText="1"/>
    </dxf>
    <dxf>
      <font>
        <sz val="14"/>
      </font>
    </dxf>
    <dxf>
      <font>
        <sz val="14"/>
      </font>
    </dxf>
    <dxf>
      <font>
        <sz val="14"/>
      </font>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sz val="12"/>
      </font>
    </dxf>
    <dxf>
      <font>
        <sz val="12"/>
      </font>
    </dxf>
    <dxf>
      <font>
        <sz val="12"/>
      </font>
    </dxf>
    <dxf>
      <font>
        <sz val="12"/>
      </font>
    </dxf>
    <dxf>
      <alignment horizontal="center"/>
    </dxf>
    <dxf>
      <alignment horizontal="center"/>
    </dxf>
    <dxf>
      <alignment horizontal="center"/>
    </dxf>
    <dxf>
      <alignment horizontal="center"/>
    </dxf>
    <dxf>
      <font>
        <sz val="10"/>
      </font>
    </dxf>
    <dxf>
      <font>
        <sz val="10"/>
      </font>
    </dxf>
    <dxf>
      <font>
        <sz val="10"/>
      </font>
    </dxf>
    <dxf>
      <font>
        <sz val="10"/>
      </font>
    </dxf>
    <dxf>
      <alignment wrapText="0"/>
    </dxf>
    <dxf>
      <alignment wrapText="0"/>
    </dxf>
    <dxf>
      <alignment wrapText="0"/>
    </dxf>
    <dxf>
      <alignment wrapText="0"/>
    </dxf>
    <dxf>
      <font>
        <sz val="36"/>
      </font>
    </dxf>
    <dxf>
      <font>
        <sz val="36"/>
      </font>
    </dxf>
    <dxf>
      <font>
        <sz val="36"/>
      </font>
    </dxf>
    <dxf>
      <font>
        <sz val="36"/>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alignment wrapText="1"/>
    </dxf>
    <dxf>
      <alignment wrapText="1"/>
    </dxf>
    <dxf>
      <alignment wrapText="1"/>
    </dxf>
    <dxf>
      <alignment wrapText="1"/>
    </dxf>
    <dxf>
      <font>
        <sz val="14"/>
      </font>
    </dxf>
    <dxf>
      <font>
        <sz val="14"/>
      </font>
    </dxf>
    <dxf>
      <font>
        <sz val="14"/>
      </font>
    </dxf>
    <dxf>
      <font>
        <sz val="14"/>
      </font>
    </dxf>
    <dxf>
      <font>
        <color theme="0"/>
      </font>
    </dxf>
    <dxf>
      <font>
        <color theme="0"/>
      </font>
    </dxf>
    <dxf>
      <font>
        <color theme="0"/>
      </font>
    </dxf>
    <dxf>
      <font>
        <color theme="0"/>
      </font>
    </dxf>
    <dxf>
      <font>
        <color theme="0"/>
      </font>
    </dxf>
    <dxf>
      <font>
        <color theme="0"/>
      </font>
    </dxf>
    <dxf>
      <fill>
        <patternFill patternType="solid">
          <bgColor rgb="FF222B35"/>
        </patternFill>
      </fill>
    </dxf>
    <dxf>
      <fill>
        <patternFill patternType="solid">
          <bgColor rgb="FF222B35"/>
        </patternFill>
      </fill>
    </dxf>
    <dxf>
      <fill>
        <patternFill patternType="solid">
          <bgColor rgb="FF222B35"/>
        </patternFill>
      </fill>
    </dxf>
    <dxf>
      <fill>
        <patternFill patternType="solid">
          <bgColor rgb="FF222B35"/>
        </patternFill>
      </fill>
    </dxf>
    <dxf>
      <fill>
        <patternFill patternType="solid">
          <bgColor rgb="FF222B35"/>
        </patternFill>
      </fill>
    </dxf>
    <dxf>
      <fill>
        <patternFill patternType="solid">
          <bgColor rgb="FF222B35"/>
        </patternFill>
      </fill>
    </dxf>
    <dxf>
      <fill>
        <patternFill>
          <bgColor rgb="FF222B35"/>
        </patternFill>
      </fill>
    </dxf>
    <dxf>
      <fill>
        <patternFill>
          <bgColor rgb="FF222B35"/>
        </patternFill>
      </fill>
    </dxf>
    <dxf>
      <fill>
        <patternFill>
          <bgColor rgb="FF222B35"/>
        </patternFill>
      </fill>
    </dxf>
    <dxf>
      <fill>
        <patternFill>
          <bgColor rgb="FF222B35"/>
        </patternFill>
      </fill>
    </dxf>
    <dxf>
      <fill>
        <patternFill>
          <bgColor rgb="FF222B35"/>
        </patternFill>
      </fill>
    </dxf>
    <dxf>
      <fill>
        <patternFill>
          <bgColor rgb="FF222B35"/>
        </patternFill>
      </fill>
    </dxf>
    <dxf>
      <fill>
        <patternFill>
          <bgColor rgb="FF222B35"/>
        </patternFill>
      </fill>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font>
        <sz val="20"/>
      </font>
    </dxf>
    <dxf>
      <font>
        <sz val="20"/>
      </font>
    </dxf>
    <dxf>
      <font>
        <sz val="20"/>
      </font>
    </dxf>
    <dxf>
      <font>
        <sz val="20"/>
      </font>
    </dxf>
    <dxf>
      <font>
        <sz val="20"/>
      </font>
    </dxf>
    <dxf>
      <font>
        <sz val="20"/>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val="0"/>
      </font>
    </dxf>
    <dxf>
      <font>
        <b val="0"/>
      </font>
    </dxf>
    <dxf>
      <font>
        <b val="0"/>
      </font>
    </dxf>
    <dxf>
      <font>
        <b/>
      </font>
    </dxf>
    <dxf>
      <font>
        <b/>
      </font>
    </dxf>
    <dxf>
      <font>
        <b/>
      </font>
    </dxf>
    <dxf>
      <font>
        <b/>
      </font>
    </dxf>
    <dxf>
      <alignment horizontal="right"/>
    </dxf>
    <dxf>
      <alignment horizontal="right"/>
    </dxf>
    <dxf>
      <alignment horizontal="right"/>
    </dxf>
    <dxf>
      <alignment horizontal="right"/>
    </dxf>
    <dxf>
      <alignment horizontal="center"/>
    </dxf>
    <dxf>
      <alignment horizontal="right"/>
    </dxf>
    <dxf>
      <font>
        <color theme="0"/>
      </font>
    </dxf>
    <dxf>
      <font>
        <color theme="0"/>
      </font>
    </dxf>
    <dxf>
      <font>
        <b val="0"/>
      </font>
    </dxf>
    <dxf>
      <font>
        <b val="0"/>
      </font>
    </dxf>
    <dxf>
      <font>
        <sz val="16"/>
      </font>
    </dxf>
    <dxf>
      <font>
        <b val="0"/>
      </font>
    </dxf>
    <dxf>
      <alignment vertical="center"/>
    </dxf>
    <dxf>
      <alignment vertical="center"/>
    </dxf>
    <dxf>
      <alignment vertical="center"/>
    </dxf>
    <dxf>
      <alignment vertical="center"/>
    </dxf>
    <dxf>
      <alignment vertical="center"/>
    </dxf>
    <dxf>
      <alignment vertical="center"/>
    </dxf>
    <dxf>
      <font>
        <sz val="14"/>
      </font>
    </dxf>
    <dxf>
      <font>
        <sz val="14"/>
      </font>
    </dxf>
    <dxf>
      <font>
        <sz val="14"/>
      </font>
    </dxf>
    <dxf>
      <font>
        <sz val="14"/>
      </font>
    </dxf>
    <dxf>
      <font>
        <sz val="14"/>
      </font>
    </dxf>
    <dxf>
      <font>
        <sz val="14"/>
      </font>
    </dxf>
    <dxf>
      <font>
        <sz val="14"/>
      </font>
    </dxf>
    <dxf>
      <alignment wrapText="1"/>
    </dxf>
    <dxf>
      <alignment wrapText="1"/>
    </dxf>
    <dxf>
      <font>
        <sz val="28"/>
      </font>
    </dxf>
    <dxf>
      <font>
        <sz val="28"/>
      </font>
    </dxf>
    <dxf>
      <alignment horizontal="left"/>
    </dxf>
    <dxf>
      <font>
        <sz val="26"/>
      </font>
    </dxf>
    <dxf>
      <alignment wrapText="1"/>
    </dxf>
    <dxf>
      <alignment wrapText="1"/>
    </dxf>
    <dxf>
      <alignment wrapText="1"/>
    </dxf>
    <dxf>
      <alignment wrapText="1"/>
    </dxf>
    <dxf>
      <alignment wrapText="1"/>
    </dxf>
    <dxf>
      <alignment wrapText="1"/>
    </dxf>
    <dxf>
      <alignment wrapText="1"/>
    </dxf>
    <dxf>
      <font>
        <sz val="36"/>
      </font>
    </dxf>
    <dxf>
      <font>
        <sz val="36"/>
      </font>
    </dxf>
    <dxf>
      <font>
        <sz val="36"/>
      </font>
    </dxf>
    <dxf>
      <font>
        <sz val="36"/>
      </font>
    </dxf>
    <dxf>
      <font>
        <sz val="36"/>
      </font>
    </dxf>
    <dxf>
      <font>
        <sz val="36"/>
      </font>
    </dxf>
    <dxf>
      <font>
        <sz val="36"/>
      </font>
    </dxf>
    <dxf>
      <fill>
        <patternFill patternType="solid">
          <bgColor rgb="FF222B35"/>
        </patternFill>
      </fill>
    </dxf>
    <dxf>
      <fill>
        <patternFill patternType="solid">
          <bgColor rgb="FF222B35"/>
        </patternFill>
      </fill>
    </dxf>
    <dxf>
      <fill>
        <patternFill patternType="solid">
          <bgColor rgb="FF222B35"/>
        </patternFill>
      </fill>
    </dxf>
    <dxf>
      <fill>
        <patternFill patternType="solid">
          <bgColor rgb="FF222B35"/>
        </patternFill>
      </fill>
    </dxf>
    <dxf>
      <fill>
        <patternFill patternType="solid">
          <bgColor rgb="FF222B35"/>
        </patternFill>
      </fill>
    </dxf>
    <dxf>
      <fill>
        <patternFill patternType="solid">
          <bgColor rgb="FF222B35"/>
        </patternFill>
      </fill>
    </dxf>
    <dxf>
      <fill>
        <patternFill patternType="solid">
          <bgColor rgb="FF222B35"/>
        </patternFill>
      </fill>
    </dxf>
    <dxf>
      <font>
        <color theme="0"/>
      </font>
    </dxf>
    <dxf>
      <font>
        <color theme="0"/>
      </font>
    </dxf>
    <dxf>
      <font>
        <color theme="0"/>
      </font>
    </dxf>
    <dxf>
      <font>
        <color theme="0"/>
      </font>
    </dxf>
    <dxf>
      <font>
        <color theme="0"/>
      </font>
    </dxf>
    <dxf>
      <font>
        <color theme="0"/>
      </font>
    </dxf>
    <dxf>
      <font>
        <color theme="0"/>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sz val="16"/>
      </font>
    </dxf>
    <dxf>
      <font>
        <sz val="16"/>
      </font>
    </dxf>
    <dxf>
      <font>
        <sz val="16"/>
      </font>
    </dxf>
    <dxf>
      <font>
        <sz val="14"/>
      </font>
    </dxf>
    <dxf>
      <font>
        <sz val="14"/>
      </font>
    </dxf>
    <dxf>
      <font>
        <sz val="14"/>
      </font>
    </dxf>
    <dxf>
      <font>
        <sz val="14"/>
      </font>
    </dxf>
    <dxf>
      <fill>
        <patternFill>
          <bgColor rgb="FF222B35"/>
        </patternFill>
      </fill>
    </dxf>
    <dxf>
      <fill>
        <patternFill>
          <bgColor rgb="FF222B35"/>
        </patternFill>
      </fill>
    </dxf>
    <dxf>
      <fill>
        <patternFill>
          <bgColor rgb="FF222B35"/>
        </patternFill>
      </fill>
    </dxf>
    <dxf>
      <fill>
        <patternFill>
          <bgColor rgb="FF222B35"/>
        </patternFill>
      </fill>
    </dxf>
    <dxf>
      <fill>
        <patternFill>
          <bgColor rgb="FF222B35"/>
        </patternFill>
      </fill>
    </dxf>
    <dxf>
      <fill>
        <patternFill>
          <bgColor rgb="FF222B35"/>
        </patternFill>
      </fill>
    </dxf>
    <dxf>
      <fill>
        <patternFill>
          <bgColor rgb="FF222B35"/>
        </patternFill>
      </fill>
    </dxf>
    <dxf>
      <alignment horizontal="center"/>
    </dxf>
    <dxf>
      <alignment horizontal="center"/>
    </dxf>
    <dxf>
      <alignment horizontal="center"/>
    </dxf>
    <dxf>
      <alignment horizontal="center"/>
    </dxf>
    <dxf>
      <alignment horizontal="center"/>
    </dxf>
    <dxf>
      <alignment horizontal="center"/>
    </dxf>
    <dxf>
      <alignment horizontal="center"/>
    </dxf>
    <dxf>
      <font>
        <sz val="20"/>
      </font>
    </dxf>
    <dxf>
      <font>
        <sz val="20"/>
      </font>
    </dxf>
    <dxf>
      <font>
        <sz val="20"/>
      </font>
    </dxf>
    <dxf>
      <font>
        <sz val="20"/>
      </font>
    </dxf>
    <dxf>
      <font>
        <sz val="20"/>
      </font>
    </dxf>
    <dxf>
      <font>
        <sz val="20"/>
      </font>
    </dxf>
    <dxf>
      <alignment horizontal="right"/>
    </dxf>
    <dxf>
      <alignment horizontal="right"/>
    </dxf>
    <dxf>
      <alignment horizontal="right"/>
    </dxf>
    <dxf>
      <alignment vertical="center"/>
    </dxf>
    <dxf>
      <alignment vertical="center"/>
    </dxf>
    <dxf>
      <alignment vertical="center"/>
    </dxf>
    <dxf>
      <font>
        <sz val="16"/>
      </font>
    </dxf>
    <dxf>
      <font>
        <sz val="16"/>
      </font>
    </dxf>
    <dxf>
      <font>
        <sz val="16"/>
      </font>
    </dxf>
    <dxf>
      <font>
        <sz val="16"/>
      </font>
    </dxf>
    <dxf>
      <font>
        <sz val="16"/>
      </font>
    </dxf>
    <dxf>
      <font>
        <sz val="16"/>
      </font>
    </dxf>
    <dxf>
      <font>
        <sz val="16"/>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alignment horizontal="center"/>
    </dxf>
    <dxf>
      <font>
        <sz val="8"/>
      </font>
    </dxf>
    <dxf>
      <font>
        <sz val="8"/>
      </font>
    </dxf>
    <dxf>
      <font>
        <sz val="8"/>
      </font>
    </dxf>
    <dxf>
      <font>
        <sz val="8"/>
      </font>
    </dxf>
    <dxf>
      <font>
        <sz val="8"/>
      </font>
    </dxf>
    <dxf>
      <font>
        <sz val="8"/>
      </font>
    </dxf>
    <dxf>
      <font>
        <sz val="8"/>
      </font>
    </dxf>
    <dxf>
      <alignment wrapText="1"/>
    </dxf>
    <dxf>
      <alignment wrapText="1"/>
    </dxf>
    <dxf>
      <alignment wrapText="1"/>
    </dxf>
    <dxf>
      <font>
        <sz val="20"/>
      </font>
    </dxf>
    <dxf>
      <font>
        <sz val="20"/>
      </font>
    </dxf>
    <dxf>
      <font>
        <sz val="20"/>
      </font>
    </dxf>
    <dxf>
      <font>
        <sz val="20"/>
      </font>
    </dxf>
    <dxf>
      <alignment wrapText="1"/>
    </dxf>
    <dxf>
      <alignment wrapText="1"/>
    </dxf>
    <dxf>
      <alignment wrapText="1"/>
    </dxf>
    <dxf>
      <alignment wrapText="1"/>
    </dxf>
    <dxf>
      <alignment wrapText="1"/>
    </dxf>
    <dxf>
      <alignment wrapText="1"/>
    </dxf>
    <dxf>
      <alignment wrapText="1"/>
    </dxf>
    <dxf>
      <font>
        <sz val="26"/>
      </font>
    </dxf>
    <dxf>
      <font>
        <sz val="26"/>
      </font>
    </dxf>
    <dxf>
      <font>
        <sz val="26"/>
      </font>
    </dxf>
    <dxf>
      <font>
        <sz val="26"/>
      </font>
    </dxf>
    <dxf>
      <font>
        <sz val="26"/>
      </font>
    </dxf>
    <dxf>
      <font>
        <sz val="26"/>
      </font>
    </dxf>
    <dxf>
      <font>
        <sz val="26"/>
      </font>
    </dxf>
    <dxf>
      <font>
        <color theme="0"/>
      </font>
    </dxf>
    <dxf>
      <font>
        <color theme="0"/>
      </font>
    </dxf>
    <dxf>
      <font>
        <color theme="0"/>
      </font>
    </dxf>
    <dxf>
      <font>
        <color theme="0"/>
      </font>
    </dxf>
    <dxf>
      <font>
        <color theme="0"/>
      </font>
    </dxf>
    <dxf>
      <font>
        <color theme="0"/>
      </font>
    </dxf>
    <dxf>
      <font>
        <color theme="0"/>
      </font>
    </dxf>
    <dxf>
      <fill>
        <patternFill patternType="solid">
          <bgColor rgb="FF222B35"/>
        </patternFill>
      </fill>
    </dxf>
    <dxf>
      <fill>
        <patternFill patternType="solid">
          <bgColor rgb="FF222B35"/>
        </patternFill>
      </fill>
    </dxf>
    <dxf>
      <fill>
        <patternFill patternType="solid">
          <bgColor rgb="FF222B35"/>
        </patternFill>
      </fill>
    </dxf>
    <dxf>
      <fill>
        <patternFill patternType="solid">
          <bgColor rgb="FF222B35"/>
        </patternFill>
      </fill>
    </dxf>
    <dxf>
      <fill>
        <patternFill patternType="solid">
          <bgColor rgb="FF222B35"/>
        </patternFill>
      </fill>
    </dxf>
    <dxf>
      <fill>
        <patternFill patternType="solid">
          <bgColor rgb="FF222B35"/>
        </patternFill>
      </fill>
    </dxf>
    <dxf>
      <fill>
        <patternFill patternType="solid">
          <bgColor rgb="FF222B35"/>
        </patternFill>
      </fill>
    </dxf>
    <dxf>
      <font>
        <name val="Aptos Narrow"/>
        <family val="2"/>
        <scheme val="none"/>
      </font>
    </dxf>
    <dxf>
      <font>
        <name val="Aptos Narrow"/>
        <family val="2"/>
        <scheme val="none"/>
      </font>
    </dxf>
    <dxf>
      <font>
        <name val="Aptos Narrow"/>
        <family val="2"/>
        <scheme val="none"/>
      </font>
    </dxf>
    <dxf>
      <font>
        <name val="Aptos Narrow"/>
        <family val="2"/>
        <scheme val="none"/>
      </font>
    </dxf>
    <dxf>
      <font>
        <name val="Aptos Narrow"/>
        <family val="2"/>
        <scheme val="none"/>
      </font>
    </dxf>
    <dxf>
      <font>
        <name val="Aptos Narrow"/>
        <family val="2"/>
        <scheme val="none"/>
      </font>
    </dxf>
    <dxf>
      <font>
        <name val="Aptos Narrow"/>
        <family val="2"/>
        <scheme val="none"/>
      </font>
    </dxf>
    <dxf>
      <font>
        <b/>
      </font>
    </dxf>
    <dxf>
      <font>
        <b/>
      </font>
    </dxf>
    <dxf>
      <font>
        <b/>
      </font>
    </dxf>
    <dxf>
      <font>
        <b/>
      </font>
    </dxf>
    <dxf>
      <font>
        <b/>
      </font>
    </dxf>
    <dxf>
      <font>
        <b/>
      </font>
    </dxf>
    <dxf>
      <font>
        <b/>
      </font>
    </dxf>
    <dxf>
      <alignment horizontal="left"/>
    </dxf>
    <dxf>
      <alignment horizontal="right"/>
    </dxf>
    <dxf>
      <alignment horizontal="right"/>
    </dxf>
    <dxf>
      <alignment horizontal="left"/>
    </dxf>
    <dxf>
      <alignment horizontal="general" vertical="bottom" textRotation="0" wrapText="0" indent="0" justifyLastLine="0" shrinkToFit="0" readingOrder="0"/>
    </dxf>
    <dxf>
      <alignment horizontal="general" vertical="bottom" textRotation="0" wrapText="0" indent="0" justifyLastLine="0" shrinkToFit="0" readingOrder="0"/>
    </dxf>
    <dxf>
      <font>
        <sz val="16"/>
        <name val="Sakkal Majalla"/>
        <scheme val="none"/>
      </font>
    </dxf>
    <dxf>
      <font>
        <sz val="16"/>
        <name val="Sakkal Majalla"/>
        <scheme val="none"/>
      </font>
    </dxf>
    <dxf>
      <font>
        <sz val="16"/>
        <name val="Sakkal Majalla"/>
        <scheme val="none"/>
      </font>
    </dxf>
    <dxf>
      <fill>
        <patternFill>
          <bgColor rgb="FF222B35"/>
        </patternFill>
      </fill>
    </dxf>
    <dxf>
      <fill>
        <patternFill>
          <bgColor rgb="FF222B35"/>
        </patternFill>
      </fill>
    </dxf>
    <dxf>
      <fill>
        <patternFill>
          <bgColor rgb="FF222B35"/>
        </patternFill>
      </fill>
    </dxf>
    <dxf>
      <fill>
        <patternFill>
          <bgColor rgb="FF222B35"/>
        </patternFill>
      </fill>
    </dxf>
    <dxf>
      <fill>
        <patternFill>
          <bgColor rgb="FF222B35"/>
        </patternFill>
      </fill>
    </dxf>
    <dxf>
      <fill>
        <patternFill>
          <bgColor rgb="FF222B35"/>
        </patternFill>
      </fill>
    </dxf>
    <dxf>
      <font>
        <sz val="20"/>
      </font>
      <alignment horizontal="right"/>
    </dxf>
    <dxf>
      <font>
        <sz val="20"/>
      </font>
      <alignment horizontal="right"/>
    </dxf>
    <dxf>
      <font>
        <sz val="20"/>
      </font>
      <alignment horizontal="right"/>
    </dxf>
    <dxf>
      <font>
        <sz val="20"/>
      </font>
    </dxf>
    <dxf>
      <font>
        <sz val="20"/>
      </font>
    </dxf>
    <dxf>
      <alignment vertical="center"/>
    </dxf>
    <dxf>
      <alignment vertical="center"/>
    </dxf>
    <dxf>
      <font>
        <sz val="16"/>
      </font>
    </dxf>
    <dxf>
      <font>
        <sz val="16"/>
      </font>
    </dxf>
    <dxf>
      <font>
        <sz val="16"/>
      </font>
    </dxf>
    <dxf>
      <alignment horizontal="center"/>
    </dxf>
    <dxf>
      <alignment horizontal="center"/>
    </dxf>
    <dxf>
      <alignment horizontal="center"/>
    </dxf>
    <dxf>
      <font>
        <sz val="12"/>
      </font>
    </dxf>
    <dxf>
      <font>
        <sz val="12"/>
      </font>
    </dxf>
    <dxf>
      <font>
        <sz val="12"/>
      </font>
    </dxf>
    <dxf>
      <font>
        <b/>
      </font>
    </dxf>
    <dxf>
      <font>
        <b/>
      </font>
    </dxf>
    <dxf>
      <font>
        <b/>
      </font>
    </dxf>
    <dxf>
      <font>
        <b/>
      </font>
    </dxf>
    <dxf>
      <font>
        <b/>
      </font>
    </dxf>
    <dxf>
      <font>
        <b/>
      </font>
    </dxf>
    <dxf>
      <alignment horizontal="center"/>
    </dxf>
    <dxf>
      <alignment horizontal="center"/>
    </dxf>
    <dxf>
      <alignment horizontal="center"/>
    </dxf>
    <dxf>
      <alignment wrapText="1"/>
    </dxf>
    <dxf>
      <font>
        <sz val="9"/>
      </font>
    </dxf>
    <dxf>
      <font>
        <sz val="9"/>
      </font>
    </dxf>
    <dxf>
      <font>
        <sz val="9"/>
      </font>
    </dxf>
    <dxf>
      <alignment wrapText="1"/>
    </dxf>
    <dxf>
      <alignment wrapText="1"/>
    </dxf>
    <dxf>
      <alignment wrapText="1"/>
    </dxf>
    <dxf>
      <alignment wrapText="1"/>
    </dxf>
    <dxf>
      <alignment wrapText="1"/>
    </dxf>
    <dxf>
      <alignment wrapText="1"/>
    </dxf>
    <dxf>
      <font>
        <sz val="72"/>
      </font>
    </dxf>
    <dxf>
      <font>
        <sz val="72"/>
      </font>
    </dxf>
    <dxf>
      <font>
        <sz val="72"/>
      </font>
    </dxf>
    <dxf>
      <font>
        <b val="0"/>
      </font>
    </dxf>
    <dxf>
      <font>
        <b val="0"/>
      </font>
    </dxf>
    <dxf>
      <font>
        <b val="0"/>
      </font>
    </dxf>
    <dxf>
      <font>
        <b val="0"/>
      </font>
    </dxf>
    <dxf>
      <font>
        <b val="0"/>
      </font>
    </dxf>
    <dxf>
      <font>
        <b val="0"/>
      </font>
    </dxf>
    <dxf>
      <font>
        <color theme="0"/>
      </font>
    </dxf>
    <dxf>
      <font>
        <color theme="0"/>
      </font>
    </dxf>
    <dxf>
      <font>
        <color theme="0"/>
      </font>
    </dxf>
    <dxf>
      <font>
        <color theme="0"/>
      </font>
    </dxf>
    <dxf>
      <font>
        <color theme="0"/>
      </font>
    </dxf>
    <dxf>
      <font>
        <color theme="0"/>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ont>
        <name val="Aptos Narrow"/>
        <scheme val="none"/>
      </font>
    </dxf>
    <dxf>
      <fill>
        <patternFill patternType="solid">
          <bgColor rgb="FF222B35"/>
        </patternFill>
      </fill>
    </dxf>
    <dxf>
      <fill>
        <patternFill patternType="solid">
          <bgColor rgb="FF222B35"/>
        </patternFill>
      </fill>
    </dxf>
    <dxf>
      <fill>
        <patternFill patternType="solid">
          <bgColor rgb="FF222B35"/>
        </patternFill>
      </fill>
    </dxf>
    <dxf>
      <fill>
        <patternFill patternType="solid">
          <bgColor rgb="FF222B35"/>
        </patternFill>
      </fill>
    </dxf>
    <dxf>
      <fill>
        <patternFill patternType="solid">
          <bgColor rgb="FF222B35"/>
        </patternFill>
      </fill>
    </dxf>
    <dxf>
      <fill>
        <patternFill patternType="solid">
          <bgColor rgb="FF222B35"/>
        </patternFill>
      </fill>
    </dxf>
    <dxf>
      <font>
        <b/>
      </font>
    </dxf>
    <dxf>
      <font>
        <b/>
      </font>
    </dxf>
    <dxf>
      <font>
        <b val="0"/>
        <i val="0"/>
        <strike val="0"/>
        <condense val="0"/>
        <extend val="0"/>
        <outline val="0"/>
        <shadow val="0"/>
        <u val="none"/>
        <vertAlign val="baseline"/>
        <sz val="12"/>
        <color theme="1"/>
        <name val="Calibri"/>
        <family val="2"/>
        <scheme val="minor"/>
      </font>
      <numFmt numFmtId="4" formatCode="#,##0.00"/>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theme="4" tint="0.39997558519241921"/>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numFmt numFmtId="4" formatCode="#,##0.00"/>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165" formatCode="#,##0.0"/>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3" formatCode="#,##0"/>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auto="1"/>
        <name val="Calibri"/>
        <family val="2"/>
        <scheme val="minor"/>
      </font>
      <numFmt numFmtId="3" formatCode="#,##0"/>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4" formatCode="#,##0.00"/>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3" formatCode="#,##0"/>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3" formatCode="#,##0"/>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numFmt numFmtId="3" formatCode="#,##0"/>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Calibri"/>
        <family val="2"/>
        <scheme val="minor"/>
      </font>
      <numFmt numFmtId="3" formatCode="#,##0"/>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indexed="64"/>
        </left>
        <right/>
        <top style="thin">
          <color theme="4" tint="0.39997558519241921"/>
        </top>
        <bottom/>
        <vertical/>
        <horizontal/>
      </border>
    </dxf>
    <dxf>
      <font>
        <b val="0"/>
        <i val="0"/>
        <strike val="0"/>
        <condense val="0"/>
        <extend val="0"/>
        <outline val="0"/>
        <shadow val="0"/>
        <u val="none"/>
        <vertAlign val="baseline"/>
        <sz val="12"/>
        <color theme="1"/>
        <name val="Calibri"/>
        <family val="2"/>
        <scheme val="minor"/>
      </font>
      <numFmt numFmtId="3" formatCode="#,##0"/>
      <fill>
        <patternFill patternType="solid">
          <fgColor indexed="64"/>
          <bgColor theme="7" tint="0.59999389629810485"/>
        </patternFill>
      </fill>
      <alignment horizontal="center"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7" tint="0.59999389629810485"/>
        </patternFill>
      </fill>
      <alignment horizontal="center" vertical="center" textRotation="0" wrapText="0" indent="0" justifyLastLine="0" shrinkToFit="0" readingOrder="0"/>
      <border diagonalUp="0" diagonalDown="0">
        <left style="thin">
          <color indexed="64"/>
        </left>
        <right/>
        <top style="thin">
          <color indexed="64"/>
        </top>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right/>
        <top style="thin">
          <color theme="4" tint="0.39997558519241921"/>
        </top>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4" tint="0.39997558519241921"/>
        </left>
        <right/>
        <top style="thin">
          <color theme="4" tint="0.39997558519241921"/>
        </top>
        <bottom/>
        <vertical/>
        <horizontal/>
      </border>
    </dxf>
    <dxf>
      <border outline="0">
        <right style="thin">
          <color theme="4" tint="0.39997558519241921"/>
        </right>
      </border>
    </dxf>
    <dxf>
      <font>
        <b val="0"/>
        <i val="0"/>
        <strike val="0"/>
        <condense val="0"/>
        <extend val="0"/>
        <outline val="0"/>
        <shadow val="0"/>
        <u val="none"/>
        <vertAlign val="baseline"/>
        <sz val="12"/>
        <color theme="1"/>
        <name val="Calibri"/>
        <family val="2"/>
        <scheme val="minor"/>
      </font>
      <fill>
        <patternFill patternType="solid">
          <fgColor indexed="64"/>
          <bgColor theme="9" tint="0.79998168889431442"/>
        </patternFill>
      </fill>
      <alignment horizontal="center" vertical="center" textRotation="0" wrapText="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theme="9" tint="-0.249977111117893"/>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right/>
        <top style="thin">
          <color theme="4" tint="0.39997558519241921"/>
        </top>
        <bottom/>
        <vertical/>
        <horizontal/>
      </border>
    </dxf>
    <dxf>
      <numFmt numFmtId="0" formatCode="General"/>
      <alignment horizontal="center" vertical="center" textRotation="0" wrapText="0" indent="0" justifyLastLine="0" shrinkToFit="0" readingOrder="0"/>
      <border diagonalUp="0" diagonalDown="0">
        <left/>
        <right/>
        <top style="thin">
          <color theme="4" tint="0.39997558519241921"/>
        </top>
        <bottom/>
        <vertical/>
        <horizontal/>
      </border>
    </dxf>
    <dxf>
      <alignment horizontal="center" vertical="center" textRotation="0" wrapText="0" indent="0" justifyLastLine="0" shrinkToFit="0" readingOrder="0"/>
      <border diagonalUp="0" diagonalDown="0">
        <left/>
        <right/>
        <top style="thin">
          <color theme="4" tint="0.39997558519241921"/>
        </top>
        <bottom/>
        <vertical/>
        <horizontal/>
      </border>
    </dxf>
    <dxf>
      <alignment horizontal="center" vertical="center" textRotation="0" wrapText="0" indent="0" justifyLastLine="0" shrinkToFit="0" readingOrder="0"/>
      <border diagonalUp="0" diagonalDown="0" outline="0">
        <left/>
        <right/>
        <top style="thin">
          <color theme="4" tint="0.39997558519241921"/>
        </top>
        <bottom/>
      </border>
    </dxf>
    <dxf>
      <numFmt numFmtId="0" formatCode="General"/>
      <alignment horizontal="center" vertical="center" textRotation="0" wrapText="0" indent="0" justifyLastLine="0" shrinkToFit="0" readingOrder="0"/>
      <border diagonalUp="0" diagonalDown="0" outline="0">
        <left/>
        <right/>
        <top style="thin">
          <color theme="4" tint="0.39997558519241921"/>
        </top>
        <bottom/>
      </border>
    </dxf>
    <dxf>
      <numFmt numFmtId="19" formatCode="m/d/yyyy"/>
      <alignment horizontal="center" vertical="center" textRotation="0" wrapText="0" indent="0" justifyLastLine="0" shrinkToFit="0" readingOrder="0"/>
      <border diagonalUp="0" diagonalDown="0" outline="0">
        <left/>
        <right/>
        <top style="thin">
          <color theme="4" tint="0.39997558519241921"/>
        </top>
        <bottom/>
      </border>
    </dxf>
    <dxf>
      <numFmt numFmtId="19" formatCode="m/d/yyyy"/>
      <alignment horizontal="center" vertical="center" textRotation="0" wrapText="0" indent="0" justifyLastLine="0" shrinkToFit="0" readingOrder="0"/>
      <border diagonalUp="0" diagonalDown="0">
        <left/>
        <right/>
        <top style="thin">
          <color theme="4" tint="0.39997558519241921"/>
        </top>
        <bottom/>
        <vertical/>
        <horizontal/>
      </border>
    </dxf>
    <dxf>
      <numFmt numFmtId="19" formatCode="m/d/yyyy"/>
      <alignment horizontal="center" vertical="center" textRotation="0" wrapText="0" indent="0" justifyLastLine="0" shrinkToFit="0" readingOrder="0"/>
      <border diagonalUp="0" diagonalDown="0">
        <left/>
        <right/>
        <top style="thin">
          <color theme="4" tint="0.39997558519241921"/>
        </top>
        <bottom/>
        <vertical/>
        <horizontal/>
      </border>
    </dxf>
    <dxf>
      <alignment horizontal="center" vertical="center" textRotation="0" wrapText="0" indent="0" justifyLastLine="0" shrinkToFit="0" readingOrder="0"/>
      <border diagonalUp="0" diagonalDown="0">
        <left/>
        <right/>
        <top style="thin">
          <color theme="4" tint="0.39997558519241921"/>
        </top>
        <bottom/>
        <vertical/>
        <horizontal/>
      </border>
    </dxf>
    <dxf>
      <alignment horizontal="center" vertical="center" textRotation="0" wrapText="0" indent="0" justifyLastLine="0" shrinkToFit="0" readingOrder="0"/>
      <border diagonalUp="0" diagonalDown="0">
        <left/>
        <right/>
        <top style="thin">
          <color theme="4" tint="0.39997558519241921"/>
        </top>
        <bottom/>
        <vertical/>
        <horizontal/>
      </border>
    </dxf>
    <dxf>
      <alignment horizontal="center" vertical="center" textRotation="0" wrapText="0" indent="0" justifyLastLine="0" shrinkToFit="0" readingOrder="0"/>
      <border diagonalUp="0" diagonalDown="0">
        <left/>
        <right/>
        <top style="thin">
          <color theme="4" tint="0.39997558519241921"/>
        </top>
        <bottom/>
        <vertical/>
        <horizontal/>
      </border>
    </dxf>
    <dxf>
      <alignment horizontal="center" vertical="center" textRotation="0" wrapText="0" indent="0" justifyLastLine="0" shrinkToFit="0" readingOrder="0"/>
      <border diagonalUp="0" diagonalDown="0">
        <left/>
        <right/>
        <top style="thin">
          <color theme="4" tint="0.39997558519241921"/>
        </top>
        <bottom/>
        <vertical/>
        <horizontal/>
      </border>
    </dxf>
    <dxf>
      <alignment horizontal="center" vertical="center" textRotation="0" wrapText="0" indent="0" justifyLastLine="0" shrinkToFit="0" readingOrder="0"/>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alignment horizontal="center" vertical="center" textRotation="0" wrapText="0" indent="0" justifyLastLine="0" shrinkToFit="0" readingOrder="0"/>
    </dxf>
    <dxf>
      <font>
        <b/>
        <i val="0"/>
        <strike val="0"/>
        <condense val="0"/>
        <extend val="0"/>
        <outline val="0"/>
        <shadow val="0"/>
        <u val="none"/>
        <vertAlign val="baseline"/>
        <sz val="16"/>
        <color theme="0"/>
        <name val="Calibri"/>
        <family val="2"/>
        <scheme val="minor"/>
      </font>
      <fill>
        <patternFill patternType="solid">
          <fgColor indexed="64"/>
          <bgColor theme="2" tint="-0.89999084444715716"/>
        </patternFill>
      </fill>
      <alignment horizontal="center" vertical="center" textRotation="0" wrapText="0" indent="0" justifyLastLine="0" shrinkToFit="0" readingOrder="0"/>
    </dxf>
    <dxf>
      <font>
        <sz val="36"/>
        <color theme="1"/>
      </font>
      <border>
        <bottom style="thin">
          <color theme="0" tint="-0.34998626667073579"/>
        </bottom>
        <vertical/>
        <horizontal/>
      </border>
    </dxf>
    <dxf>
      <font>
        <b/>
        <i val="0"/>
        <sz val="22"/>
        <color theme="1"/>
        <name val="Calibri"/>
        <family val="2"/>
        <scheme val="minor"/>
      </font>
      <border>
        <left style="thin">
          <color theme="0" tint="-0.499984740745262"/>
        </left>
        <right style="thin">
          <color theme="0" tint="-0.499984740745262"/>
        </right>
        <top style="thin">
          <color theme="0" tint="-0.499984740745262"/>
        </top>
        <bottom style="thin">
          <color theme="0" tint="-0.499984740745262"/>
        </bottom>
        <vertical/>
        <horizontal/>
      </border>
    </dxf>
  </dxfs>
  <tableStyles count="1" defaultTableStyle="TableStyleMedium2" defaultPivotStyle="PivotStyleLight16">
    <tableStyle name="SlicerStyleOther1 2 2" pivot="0" table="0" count="10" xr9:uid="{2A61DFC5-93C3-458B-B0A8-2A0564D8C6C9}">
      <tableStyleElement type="wholeTable" dxfId="509"/>
      <tableStyleElement type="headerRow" dxfId="508"/>
    </tableStyle>
  </tableStyles>
  <colors>
    <mruColors>
      <color rgb="FF222B35"/>
      <color rgb="FF44546A"/>
      <color rgb="FF0000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Other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pivotCacheDefinition" Target="pivotCache/pivotCacheDefinition9.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microsoft.com/office/2007/relationships/slicerCache" Target="slicerCaches/slicerCache1.xml"/><Relationship Id="rId33"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pivotCacheDefinition" Target="pivotCache/pivotCacheDefinition8.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2.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pivotCacheDefinition" Target="pivotCache/pivotCacheDefinition11.xml"/><Relationship Id="rId28"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pivotCacheDefinition" Target="pivotCache/pivotCacheDefinition10.xml"/><Relationship Id="rId27" Type="http://schemas.microsoft.com/office/2007/relationships/slicerCache" Target="slicerCaches/slicerCache3.xml"/><Relationship Id="rId30" Type="http://schemas.openxmlformats.org/officeDocument/2006/relationships/connections" Target="connection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[تحليل مالي استاذ ياسر.xlsx]نسبة النمو!PivotTable12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'نسبة النمو'!$B$3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'نسبة النمو'!$A$4:$A$10</c:f>
              <c:strCache>
                <c:ptCount val="6"/>
                <c:pt idx="0">
                  <c:v>Jan</c:v>
                </c:pt>
                <c:pt idx="1">
                  <c:v>May</c:v>
                </c:pt>
                <c:pt idx="2">
                  <c:v>Aug</c:v>
                </c:pt>
                <c:pt idx="3">
                  <c:v>Sep</c:v>
                </c:pt>
                <c:pt idx="4">
                  <c:v>Oct</c:v>
                </c:pt>
                <c:pt idx="5">
                  <c:v>Dec</c:v>
                </c:pt>
              </c:strCache>
            </c:strRef>
          </c:cat>
          <c:val>
            <c:numRef>
              <c:f>'نسبة النمو'!$B$4:$B$10</c:f>
              <c:numCache>
                <c:formatCode>0.00%</c:formatCode>
                <c:ptCount val="6"/>
                <c:pt idx="1">
                  <c:v>-0.83333333333333337</c:v>
                </c:pt>
                <c:pt idx="2">
                  <c:v>0</c:v>
                </c:pt>
                <c:pt idx="3">
                  <c:v>1</c:v>
                </c:pt>
                <c:pt idx="4">
                  <c:v>-0.5</c:v>
                </c:pt>
                <c:pt idx="5">
                  <c:v>1</c:v>
                </c:pt>
              </c:numCache>
            </c:numRef>
          </c:val>
          <c:extLst>
            <c:ext xmlns:c16="http://schemas.microsoft.com/office/drawing/2014/chart" uri="{C3380CC4-5D6E-409C-BE32-E72D297353CC}">
              <c16:uniqueId val="{00000001-662F-4C48-A3AF-031C4CB64254}"/>
            </c:ext>
          </c:extLst>
        </c:ser>
        <c:dLbls>
          <c:dLblPos val="outEnd"/>
          <c:showLegendKey val="0"/>
          <c:showVal val="1"/>
          <c:showCatName val="0"/>
          <c:showSerName val="0"/>
          <c:showPercent val="0"/>
          <c:showBubbleSize val="0"/>
        </c:dLbls>
        <c:gapWidth val="219"/>
        <c:overlap val="-27"/>
        <c:axId val="79891263"/>
        <c:axId val="79909983"/>
      </c:barChart>
      <c:catAx>
        <c:axId val="79891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09983"/>
        <c:crosses val="autoZero"/>
        <c:auto val="1"/>
        <c:lblAlgn val="ctr"/>
        <c:lblOffset val="100"/>
        <c:noMultiLvlLbl val="0"/>
      </c:catAx>
      <c:valAx>
        <c:axId val="799099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91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[تحليل مالي استاذ ياسر.xlsx]المبيعات والربح!PivotTable8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المبيعات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'المبيعات والربح'!$A$3</c:f>
              <c:strCache>
                <c:ptCount val="1"/>
                <c:pt idx="0">
                  <c:v>الكمية</c:v>
                </c:pt>
              </c:strCache>
            </c:strRef>
          </c:tx>
          <c:spPr>
            <a:solidFill>
              <a:schemeClr val="accent1"/>
            </a:solidFill>
            <a:ln>
              <a:noFill/>
            </a:ln>
            <a:effectLst/>
          </c:spPr>
          <c:invertIfNegative val="0"/>
          <c:cat>
            <c:strRef>
              <c:f>'المبيعات والربح'!$A$4</c:f>
              <c:strCache>
                <c:ptCount val="1"/>
                <c:pt idx="0">
                  <c:v>Total</c:v>
                </c:pt>
              </c:strCache>
            </c:strRef>
          </c:cat>
          <c:val>
            <c:numRef>
              <c:f>'المبيعات والربح'!$A$4</c:f>
              <c:numCache>
                <c:formatCode>General</c:formatCode>
                <c:ptCount val="1"/>
                <c:pt idx="0">
                  <c:v>271</c:v>
                </c:pt>
              </c:numCache>
            </c:numRef>
          </c:val>
          <c:extLst>
            <c:ext xmlns:c16="http://schemas.microsoft.com/office/drawing/2014/chart" uri="{C3380CC4-5D6E-409C-BE32-E72D297353CC}">
              <c16:uniqueId val="{00000000-B74E-4ACC-AACC-EBBBFC7B3823}"/>
            </c:ext>
          </c:extLst>
        </c:ser>
        <c:ser>
          <c:idx val="1"/>
          <c:order val="1"/>
          <c:tx>
            <c:strRef>
              <c:f>'المبيعات والربح'!$B$3</c:f>
              <c:strCache>
                <c:ptCount val="1"/>
                <c:pt idx="0">
                  <c:v>إجمالي البيع بدون ضريبة</c:v>
                </c:pt>
              </c:strCache>
            </c:strRef>
          </c:tx>
          <c:spPr>
            <a:solidFill>
              <a:schemeClr val="accent2"/>
            </a:solidFill>
            <a:ln>
              <a:noFill/>
            </a:ln>
            <a:effectLst/>
          </c:spPr>
          <c:invertIfNegative val="0"/>
          <c:cat>
            <c:strRef>
              <c:f>'المبيعات والربح'!$A$4</c:f>
              <c:strCache>
                <c:ptCount val="1"/>
                <c:pt idx="0">
                  <c:v>Total</c:v>
                </c:pt>
              </c:strCache>
            </c:strRef>
          </c:cat>
          <c:val>
            <c:numRef>
              <c:f>'المبيعات والربح'!$B$4</c:f>
              <c:numCache>
                <c:formatCode>General</c:formatCode>
                <c:ptCount val="1"/>
                <c:pt idx="0">
                  <c:v>57136.3</c:v>
                </c:pt>
              </c:numCache>
            </c:numRef>
          </c:val>
          <c:extLst>
            <c:ext xmlns:c16="http://schemas.microsoft.com/office/drawing/2014/chart" uri="{C3380CC4-5D6E-409C-BE32-E72D297353CC}">
              <c16:uniqueId val="{00000001-B74E-4ACC-AACC-EBBBFC7B3823}"/>
            </c:ext>
          </c:extLst>
        </c:ser>
        <c:ser>
          <c:idx val="2"/>
          <c:order val="2"/>
          <c:tx>
            <c:strRef>
              <c:f>'المبيعات والربح'!$C$3</c:f>
              <c:strCache>
                <c:ptCount val="1"/>
                <c:pt idx="0">
                  <c:v>الضريبة</c:v>
                </c:pt>
              </c:strCache>
            </c:strRef>
          </c:tx>
          <c:spPr>
            <a:solidFill>
              <a:schemeClr val="accent3"/>
            </a:solidFill>
            <a:ln>
              <a:noFill/>
            </a:ln>
            <a:effectLst/>
          </c:spPr>
          <c:invertIfNegative val="0"/>
          <c:cat>
            <c:strRef>
              <c:f>'المبيعات والربح'!$A$4</c:f>
              <c:strCache>
                <c:ptCount val="1"/>
                <c:pt idx="0">
                  <c:v>Total</c:v>
                </c:pt>
              </c:strCache>
            </c:strRef>
          </c:cat>
          <c:val>
            <c:numRef>
              <c:f>'المبيعات والربح'!$C$4</c:f>
              <c:numCache>
                <c:formatCode>General</c:formatCode>
                <c:ptCount val="1"/>
                <c:pt idx="0">
                  <c:v>8570.4449999999997</c:v>
                </c:pt>
              </c:numCache>
            </c:numRef>
          </c:val>
          <c:extLst>
            <c:ext xmlns:c16="http://schemas.microsoft.com/office/drawing/2014/chart" uri="{C3380CC4-5D6E-409C-BE32-E72D297353CC}">
              <c16:uniqueId val="{00000002-B74E-4ACC-AACC-EBBBFC7B3823}"/>
            </c:ext>
          </c:extLst>
        </c:ser>
        <c:ser>
          <c:idx val="3"/>
          <c:order val="3"/>
          <c:tx>
            <c:strRef>
              <c:f>'المبيعات والربح'!$D$3</c:f>
              <c:strCache>
                <c:ptCount val="1"/>
                <c:pt idx="0">
                  <c:v>إجمالي البيع مع الضريبة</c:v>
                </c:pt>
              </c:strCache>
            </c:strRef>
          </c:tx>
          <c:spPr>
            <a:solidFill>
              <a:schemeClr val="accent4"/>
            </a:solidFill>
            <a:ln>
              <a:noFill/>
            </a:ln>
            <a:effectLst/>
          </c:spPr>
          <c:invertIfNegative val="0"/>
          <c:cat>
            <c:strRef>
              <c:f>'المبيعات والربح'!$A$4</c:f>
              <c:strCache>
                <c:ptCount val="1"/>
                <c:pt idx="0">
                  <c:v>Total</c:v>
                </c:pt>
              </c:strCache>
            </c:strRef>
          </c:cat>
          <c:val>
            <c:numRef>
              <c:f>'المبيعات والربح'!$D$4</c:f>
              <c:numCache>
                <c:formatCode>General</c:formatCode>
                <c:ptCount val="1"/>
                <c:pt idx="0">
                  <c:v>65706.744999999995</c:v>
                </c:pt>
              </c:numCache>
            </c:numRef>
          </c:val>
          <c:extLst>
            <c:ext xmlns:c16="http://schemas.microsoft.com/office/drawing/2014/chart" uri="{C3380CC4-5D6E-409C-BE32-E72D297353CC}">
              <c16:uniqueId val="{00000003-B74E-4ACC-AACC-EBBBFC7B3823}"/>
            </c:ext>
          </c:extLst>
        </c:ser>
        <c:ser>
          <c:idx val="4"/>
          <c:order val="4"/>
          <c:tx>
            <c:strRef>
              <c:f>'المبيعات والربح'!$E$3</c:f>
              <c:strCache>
                <c:ptCount val="1"/>
                <c:pt idx="0">
                  <c:v>إجمالي الربح</c:v>
                </c:pt>
              </c:strCache>
            </c:strRef>
          </c:tx>
          <c:spPr>
            <a:solidFill>
              <a:schemeClr val="accent5"/>
            </a:solidFill>
            <a:ln>
              <a:noFill/>
            </a:ln>
            <a:effectLst/>
          </c:spPr>
          <c:invertIfNegative val="0"/>
          <c:cat>
            <c:strRef>
              <c:f>'المبيعات والربح'!$A$4</c:f>
              <c:strCache>
                <c:ptCount val="1"/>
                <c:pt idx="0">
                  <c:v>Total</c:v>
                </c:pt>
              </c:strCache>
            </c:strRef>
          </c:cat>
          <c:val>
            <c:numRef>
              <c:f>'المبيعات والربح'!$E$4</c:f>
              <c:numCache>
                <c:formatCode>General</c:formatCode>
                <c:ptCount val="1"/>
                <c:pt idx="0">
                  <c:v>53842.814999999995</c:v>
                </c:pt>
              </c:numCache>
            </c:numRef>
          </c:val>
          <c:extLst>
            <c:ext xmlns:c16="http://schemas.microsoft.com/office/drawing/2014/chart" uri="{C3380CC4-5D6E-409C-BE32-E72D297353CC}">
              <c16:uniqueId val="{00000004-B74E-4ACC-AACC-EBBBFC7B3823}"/>
            </c:ext>
          </c:extLst>
        </c:ser>
        <c:dLbls>
          <c:showLegendKey val="0"/>
          <c:showVal val="0"/>
          <c:showCatName val="0"/>
          <c:showSerName val="0"/>
          <c:showPercent val="0"/>
          <c:showBubbleSize val="0"/>
        </c:dLbls>
        <c:gapWidth val="219"/>
        <c:overlap val="-27"/>
        <c:axId val="2128326448"/>
        <c:axId val="2128318288"/>
      </c:barChart>
      <c:catAx>
        <c:axId val="2128326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8318288"/>
        <c:crosses val="autoZero"/>
        <c:auto val="1"/>
        <c:lblAlgn val="ctr"/>
        <c:lblOffset val="100"/>
        <c:noMultiLvlLbl val="0"/>
      </c:catAx>
      <c:valAx>
        <c:axId val="2128318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8326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[تحليل مالي استاذ ياسر.xlsx]التكاليف!PivotTable9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التكاليف</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التكاليف!$A$3</c:f>
              <c:strCache>
                <c:ptCount val="1"/>
                <c:pt idx="0">
                  <c:v>تكلفة الحبة الواحدة</c:v>
                </c:pt>
              </c:strCache>
            </c:strRef>
          </c:tx>
          <c:spPr>
            <a:solidFill>
              <a:schemeClr val="accent1"/>
            </a:solidFill>
            <a:ln>
              <a:noFill/>
            </a:ln>
            <a:effectLst/>
          </c:spPr>
          <c:invertIfNegative val="0"/>
          <c:cat>
            <c:strRef>
              <c:f>التكاليف!$A$4</c:f>
              <c:strCache>
                <c:ptCount val="1"/>
                <c:pt idx="0">
                  <c:v>Total</c:v>
                </c:pt>
              </c:strCache>
            </c:strRef>
          </c:cat>
          <c:val>
            <c:numRef>
              <c:f>التكاليف!$A$4</c:f>
              <c:numCache>
                <c:formatCode>General</c:formatCode>
                <c:ptCount val="1"/>
                <c:pt idx="0">
                  <c:v>2203</c:v>
                </c:pt>
              </c:numCache>
            </c:numRef>
          </c:val>
          <c:extLst>
            <c:ext xmlns:c16="http://schemas.microsoft.com/office/drawing/2014/chart" uri="{C3380CC4-5D6E-409C-BE32-E72D297353CC}">
              <c16:uniqueId val="{00000000-E2D3-4A80-8593-F980D69CAE88}"/>
            </c:ext>
          </c:extLst>
        </c:ser>
        <c:ser>
          <c:idx val="1"/>
          <c:order val="1"/>
          <c:tx>
            <c:strRef>
              <c:f>التكاليف!$B$3</c:f>
              <c:strCache>
                <c:ptCount val="1"/>
                <c:pt idx="0">
                  <c:v>المخاطرة 10%</c:v>
                </c:pt>
              </c:strCache>
            </c:strRef>
          </c:tx>
          <c:spPr>
            <a:solidFill>
              <a:schemeClr val="accent2"/>
            </a:solidFill>
            <a:ln>
              <a:noFill/>
            </a:ln>
            <a:effectLst/>
          </c:spPr>
          <c:invertIfNegative val="0"/>
          <c:cat>
            <c:strRef>
              <c:f>التكاليف!$A$4</c:f>
              <c:strCache>
                <c:ptCount val="1"/>
                <c:pt idx="0">
                  <c:v>Total</c:v>
                </c:pt>
              </c:strCache>
            </c:strRef>
          </c:cat>
          <c:val>
            <c:numRef>
              <c:f>التكاليف!$B$4</c:f>
              <c:numCache>
                <c:formatCode>General</c:formatCode>
                <c:ptCount val="1"/>
                <c:pt idx="0">
                  <c:v>220.3</c:v>
                </c:pt>
              </c:numCache>
            </c:numRef>
          </c:val>
          <c:extLst>
            <c:ext xmlns:c16="http://schemas.microsoft.com/office/drawing/2014/chart" uri="{C3380CC4-5D6E-409C-BE32-E72D297353CC}">
              <c16:uniqueId val="{00000001-E2D3-4A80-8593-F980D69CAE88}"/>
            </c:ext>
          </c:extLst>
        </c:ser>
        <c:ser>
          <c:idx val="2"/>
          <c:order val="2"/>
          <c:tx>
            <c:strRef>
              <c:f>التكاليف!$C$3</c:f>
              <c:strCache>
                <c:ptCount val="1"/>
                <c:pt idx="0">
                  <c:v>ضريبة المنتج الواحد</c:v>
                </c:pt>
              </c:strCache>
            </c:strRef>
          </c:tx>
          <c:spPr>
            <a:solidFill>
              <a:schemeClr val="accent3"/>
            </a:solidFill>
            <a:ln>
              <a:noFill/>
            </a:ln>
            <a:effectLst/>
          </c:spPr>
          <c:invertIfNegative val="0"/>
          <c:cat>
            <c:strRef>
              <c:f>التكاليف!$A$4</c:f>
              <c:strCache>
                <c:ptCount val="1"/>
                <c:pt idx="0">
                  <c:v>Total</c:v>
                </c:pt>
              </c:strCache>
            </c:strRef>
          </c:cat>
          <c:val>
            <c:numRef>
              <c:f>التكاليف!$C$4</c:f>
              <c:numCache>
                <c:formatCode>General</c:formatCode>
                <c:ptCount val="1"/>
                <c:pt idx="0">
                  <c:v>429.58499999999998</c:v>
                </c:pt>
              </c:numCache>
            </c:numRef>
          </c:val>
          <c:extLst>
            <c:ext xmlns:c16="http://schemas.microsoft.com/office/drawing/2014/chart" uri="{C3380CC4-5D6E-409C-BE32-E72D297353CC}">
              <c16:uniqueId val="{00000002-E2D3-4A80-8593-F980D69CAE88}"/>
            </c:ext>
          </c:extLst>
        </c:ser>
        <c:ser>
          <c:idx val="3"/>
          <c:order val="3"/>
          <c:tx>
            <c:strRef>
              <c:f>التكاليف!$D$3</c:f>
              <c:strCache>
                <c:ptCount val="1"/>
                <c:pt idx="0">
                  <c:v>إجمالي التكاليف ( بعد الضرائب )</c:v>
                </c:pt>
              </c:strCache>
            </c:strRef>
          </c:tx>
          <c:spPr>
            <a:solidFill>
              <a:schemeClr val="accent4"/>
            </a:solidFill>
            <a:ln>
              <a:noFill/>
            </a:ln>
            <a:effectLst/>
          </c:spPr>
          <c:invertIfNegative val="0"/>
          <c:cat>
            <c:strRef>
              <c:f>التكاليف!$A$4</c:f>
              <c:strCache>
                <c:ptCount val="1"/>
                <c:pt idx="0">
                  <c:v>Total</c:v>
                </c:pt>
              </c:strCache>
            </c:strRef>
          </c:cat>
          <c:val>
            <c:numRef>
              <c:f>التكاليف!$D$4</c:f>
              <c:numCache>
                <c:formatCode>General</c:formatCode>
                <c:ptCount val="1"/>
                <c:pt idx="0">
                  <c:v>3293.4849999999997</c:v>
                </c:pt>
              </c:numCache>
            </c:numRef>
          </c:val>
          <c:extLst>
            <c:ext xmlns:c16="http://schemas.microsoft.com/office/drawing/2014/chart" uri="{C3380CC4-5D6E-409C-BE32-E72D297353CC}">
              <c16:uniqueId val="{00000003-E2D3-4A80-8593-F980D69CAE88}"/>
            </c:ext>
          </c:extLst>
        </c:ser>
        <c:dLbls>
          <c:showLegendKey val="0"/>
          <c:showVal val="0"/>
          <c:showCatName val="0"/>
          <c:showSerName val="0"/>
          <c:showPercent val="0"/>
          <c:showBubbleSize val="0"/>
        </c:dLbls>
        <c:gapWidth val="219"/>
        <c:overlap val="-27"/>
        <c:axId val="412707487"/>
        <c:axId val="412718527"/>
      </c:barChart>
      <c:catAx>
        <c:axId val="41270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718527"/>
        <c:crosses val="autoZero"/>
        <c:auto val="1"/>
        <c:lblAlgn val="ctr"/>
        <c:lblOffset val="100"/>
        <c:noMultiLvlLbl val="0"/>
      </c:catAx>
      <c:valAx>
        <c:axId val="412718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707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[تحليل مالي استاذ ياسر.xlsx]المناطق والجهات!PivotTable2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عدد</a:t>
            </a:r>
            <a:r>
              <a:rPr lang="ar-EG" baseline="0"/>
              <a:t> المشاريع حسب المناطق</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'المناطق والجهات'!$B$3</c:f>
              <c:strCache>
                <c:ptCount val="1"/>
                <c:pt idx="0">
                  <c:v>Total</c:v>
                </c:pt>
              </c:strCache>
            </c:strRef>
          </c:tx>
          <c:spPr>
            <a:solidFill>
              <a:schemeClr val="accent1"/>
            </a:solidFill>
            <a:ln>
              <a:noFill/>
            </a:ln>
            <a:effectLst/>
          </c:spPr>
          <c:invertIfNegative val="0"/>
          <c:cat>
            <c:strRef>
              <c:f>'المناطق والجهات'!$A$4:$A$7</c:f>
              <c:strCache>
                <c:ptCount val="3"/>
                <c:pt idx="0">
                  <c:v>الرياض</c:v>
                </c:pt>
                <c:pt idx="1">
                  <c:v>المدينة</c:v>
                </c:pt>
                <c:pt idx="2">
                  <c:v>جدة</c:v>
                </c:pt>
              </c:strCache>
            </c:strRef>
          </c:cat>
          <c:val>
            <c:numRef>
              <c:f>'المناطق والجهات'!$B$4:$B$7</c:f>
              <c:numCache>
                <c:formatCode>General</c:formatCode>
                <c:ptCount val="3"/>
                <c:pt idx="0">
                  <c:v>4</c:v>
                </c:pt>
                <c:pt idx="1">
                  <c:v>3</c:v>
                </c:pt>
                <c:pt idx="2">
                  <c:v>6</c:v>
                </c:pt>
              </c:numCache>
            </c:numRef>
          </c:val>
          <c:extLst>
            <c:ext xmlns:c16="http://schemas.microsoft.com/office/drawing/2014/chart" uri="{C3380CC4-5D6E-409C-BE32-E72D297353CC}">
              <c16:uniqueId val="{00000001-126F-4AC9-BE43-A9CB8B90B8CE}"/>
            </c:ext>
          </c:extLst>
        </c:ser>
        <c:dLbls>
          <c:showLegendKey val="0"/>
          <c:showVal val="0"/>
          <c:showCatName val="0"/>
          <c:showSerName val="0"/>
          <c:showPercent val="0"/>
          <c:showBubbleSize val="0"/>
        </c:dLbls>
        <c:gapWidth val="182"/>
        <c:axId val="412726207"/>
        <c:axId val="412702687"/>
      </c:barChart>
      <c:catAx>
        <c:axId val="412726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702687"/>
        <c:crosses val="autoZero"/>
        <c:auto val="1"/>
        <c:lblAlgn val="ctr"/>
        <c:lblOffset val="100"/>
        <c:noMultiLvlLbl val="0"/>
      </c:catAx>
      <c:valAx>
        <c:axId val="4127026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726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[تحليل مالي استاذ ياسر.xlsx]المناطق والجهات!PivotTable3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نسبة المشاريع حسب الجهة</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'المناطق والجهات'!$J$3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A22-4386-A4AB-16690C187C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556-491A-A7E7-4C8A20822ED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556-491A-A7E7-4C8A20822ED6}"/>
              </c:ext>
            </c:extLst>
          </c:dPt>
          <c:cat>
            <c:strRef>
              <c:f>'المناطق والجهات'!$I$4:$I$7</c:f>
              <c:strCache>
                <c:ptCount val="3"/>
                <c:pt idx="0">
                  <c:v>وزارة التعليم</c:v>
                </c:pt>
                <c:pt idx="1">
                  <c:v>وزارة الشباب</c:v>
                </c:pt>
                <c:pt idx="2">
                  <c:v>وزارة الصحة</c:v>
                </c:pt>
              </c:strCache>
            </c:strRef>
          </c:cat>
          <c:val>
            <c:numRef>
              <c:f>'المناطق والجهات'!$J$4:$J$7</c:f>
              <c:numCache>
                <c:formatCode>General</c:formatCode>
                <c:ptCount val="3"/>
                <c:pt idx="0">
                  <c:v>3</c:v>
                </c:pt>
                <c:pt idx="1">
                  <c:v>1</c:v>
                </c:pt>
                <c:pt idx="2">
                  <c:v>9</c:v>
                </c:pt>
              </c:numCache>
            </c:numRef>
          </c:val>
          <c:extLst>
            <c:ext xmlns:c16="http://schemas.microsoft.com/office/drawing/2014/chart" uri="{C3380CC4-5D6E-409C-BE32-E72D297353CC}">
              <c16:uniqueId val="{00000007-BFFF-450F-B126-654A35DC259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84A-4C63-A71A-327F16A9BC6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84A-4C63-A71A-327F16A9BC6E}"/>
              </c:ext>
            </c:extLst>
          </c:dPt>
          <c:val>
            <c:numRef>
              <c:f>'مؤشرات اساسية'!$N$6:$N$7</c:f>
              <c:numCache>
                <c:formatCode>General</c:formatCode>
                <c:ptCount val="2"/>
                <c:pt idx="0">
                  <c:v>361.6</c:v>
                </c:pt>
                <c:pt idx="1">
                  <c:v>0</c:v>
                </c:pt>
              </c:numCache>
            </c:numRef>
          </c:val>
          <c:extLst>
            <c:ext xmlns:c16="http://schemas.microsoft.com/office/drawing/2014/chart" uri="{C3380CC4-5D6E-409C-BE32-E72D297353CC}">
              <c16:uniqueId val="{00000000-6C54-4009-9AC5-ADCD77C8976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[تحليل مالي استاذ ياسر.xlsx]المشاريع لكل شهر!PivotTable1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المشاريع</a:t>
            </a:r>
            <a:r>
              <a:rPr lang="ar-EG" baseline="0"/>
              <a:t> حسب الشهر والعام</a:t>
            </a:r>
          </a:p>
          <a:p>
            <a:pPr>
              <a:defRPr/>
            </a:pPr>
            <a:endParaRPr lang="en-US"/>
          </a:p>
        </c:rich>
      </c:tx>
      <c:layout>
        <c:manualLayout>
          <c:xMode val="edge"/>
          <c:yMode val="edge"/>
          <c:x val="0.43178608755851733"/>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'المشاريع لكل شهر'!$B$1:$B$2</c:f>
              <c:strCache>
                <c:ptCount val="1"/>
                <c:pt idx="0">
                  <c:v>2024</c:v>
                </c:pt>
              </c:strCache>
            </c:strRef>
          </c:tx>
          <c:spPr>
            <a:solidFill>
              <a:schemeClr val="accent1"/>
            </a:solidFill>
            <a:ln>
              <a:noFill/>
            </a:ln>
            <a:effectLst/>
          </c:spPr>
          <c:invertIfNegative val="0"/>
          <c:cat>
            <c:strRef>
              <c:f>'المشاريع لكل شهر'!$A$3:$A$9</c:f>
              <c:strCache>
                <c:ptCount val="6"/>
                <c:pt idx="0">
                  <c:v>Jan</c:v>
                </c:pt>
                <c:pt idx="1">
                  <c:v>May</c:v>
                </c:pt>
                <c:pt idx="2">
                  <c:v>Aug</c:v>
                </c:pt>
                <c:pt idx="3">
                  <c:v>Sep</c:v>
                </c:pt>
                <c:pt idx="4">
                  <c:v>Oct</c:v>
                </c:pt>
                <c:pt idx="5">
                  <c:v>Dec</c:v>
                </c:pt>
              </c:strCache>
            </c:strRef>
          </c:cat>
          <c:val>
            <c:numRef>
              <c:f>'المشاريع لكل شهر'!$B$3:$B$9</c:f>
              <c:numCache>
                <c:formatCode>General</c:formatCode>
                <c:ptCount val="6"/>
                <c:pt idx="0">
                  <c:v>6</c:v>
                </c:pt>
                <c:pt idx="1">
                  <c:v>1</c:v>
                </c:pt>
                <c:pt idx="2">
                  <c:v>1</c:v>
                </c:pt>
                <c:pt idx="3">
                  <c:v>1</c:v>
                </c:pt>
                <c:pt idx="4">
                  <c:v>1</c:v>
                </c:pt>
                <c:pt idx="5">
                  <c:v>2</c:v>
                </c:pt>
              </c:numCache>
            </c:numRef>
          </c:val>
          <c:extLst>
            <c:ext xmlns:c16="http://schemas.microsoft.com/office/drawing/2014/chart" uri="{C3380CC4-5D6E-409C-BE32-E72D297353CC}">
              <c16:uniqueId val="{00000003-8525-4DFF-AF5D-BEDC505194A6}"/>
            </c:ext>
          </c:extLst>
        </c:ser>
        <c:ser>
          <c:idx val="1"/>
          <c:order val="1"/>
          <c:tx>
            <c:strRef>
              <c:f>'المشاريع لكل شهر'!$C$1:$C$2</c:f>
              <c:strCache>
                <c:ptCount val="1"/>
                <c:pt idx="0">
                  <c:v>2025</c:v>
                </c:pt>
              </c:strCache>
            </c:strRef>
          </c:tx>
          <c:spPr>
            <a:solidFill>
              <a:schemeClr val="accent2"/>
            </a:solidFill>
            <a:ln>
              <a:noFill/>
            </a:ln>
            <a:effectLst/>
          </c:spPr>
          <c:invertIfNegative val="0"/>
          <c:cat>
            <c:strRef>
              <c:f>'المشاريع لكل شهر'!$A$3:$A$9</c:f>
              <c:strCache>
                <c:ptCount val="6"/>
                <c:pt idx="0">
                  <c:v>Jan</c:v>
                </c:pt>
                <c:pt idx="1">
                  <c:v>May</c:v>
                </c:pt>
                <c:pt idx="2">
                  <c:v>Aug</c:v>
                </c:pt>
                <c:pt idx="3">
                  <c:v>Sep</c:v>
                </c:pt>
                <c:pt idx="4">
                  <c:v>Oct</c:v>
                </c:pt>
                <c:pt idx="5">
                  <c:v>Dec</c:v>
                </c:pt>
              </c:strCache>
            </c:strRef>
          </c:cat>
          <c:val>
            <c:numRef>
              <c:f>'المشاريع لكل شهر'!$C$3:$C$9</c:f>
              <c:numCache>
                <c:formatCode>General</c:formatCode>
                <c:ptCount val="6"/>
                <c:pt idx="3">
                  <c:v>1</c:v>
                </c:pt>
              </c:numCache>
            </c:numRef>
          </c:val>
          <c:extLst>
            <c:ext xmlns:c16="http://schemas.microsoft.com/office/drawing/2014/chart" uri="{C3380CC4-5D6E-409C-BE32-E72D297353CC}">
              <c16:uniqueId val="{00000000-1AF2-4D2D-9026-CB9EF146969A}"/>
            </c:ext>
          </c:extLst>
        </c:ser>
        <c:dLbls>
          <c:showLegendKey val="0"/>
          <c:showVal val="0"/>
          <c:showCatName val="0"/>
          <c:showSerName val="0"/>
          <c:showPercent val="0"/>
          <c:showBubbleSize val="0"/>
        </c:dLbls>
        <c:gapWidth val="219"/>
        <c:overlap val="-27"/>
        <c:axId val="1364704672"/>
        <c:axId val="1364705632"/>
      </c:barChart>
      <c:catAx>
        <c:axId val="1364704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705632"/>
        <c:crosses val="autoZero"/>
        <c:auto val="1"/>
        <c:lblAlgn val="ctr"/>
        <c:lblOffset val="100"/>
        <c:noMultiLvlLbl val="0"/>
      </c:catAx>
      <c:valAx>
        <c:axId val="1364705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704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[تحليل مالي استاذ ياسر.xlsx]المشاريع لكل شهر!PivotTable1</c:name>
    <c:fmtId val="3"/>
  </c:pivotSource>
  <c:chart>
    <c:title>
      <c:tx>
        <c:rich>
          <a:bodyPr rot="0" spcFirstLastPara="1" vertOverflow="ellipsis" vert="horz" wrap="square" anchor="ctr" anchorCtr="1"/>
          <a:lstStyle/>
          <a:p>
            <a:pPr algn="ctr" rtl="1">
              <a:defRPr lang="ar-EG" sz="3600" b="1" i="0" u="none" strike="noStrike" kern="1200" spc="0" baseline="0">
                <a:solidFill>
                  <a:sysClr val="window" lastClr="FFFFFF"/>
                </a:solidFill>
                <a:latin typeface="+mn-lt"/>
                <a:ea typeface="+mn-ea"/>
                <a:cs typeface="+mn-cs"/>
              </a:defRPr>
            </a:pPr>
            <a:r>
              <a:rPr lang="ar-EG" sz="3600" b="1" i="0" u="none" strike="noStrike" kern="1200" spc="0" baseline="0">
                <a:solidFill>
                  <a:sysClr val="window" lastClr="FFFFFF"/>
                </a:solidFill>
                <a:latin typeface="+mn-lt"/>
                <a:ea typeface="+mn-ea"/>
                <a:cs typeface="+mn-cs"/>
              </a:rPr>
              <a:t>المشاريع حسب الشهر والعام</a:t>
            </a:r>
          </a:p>
          <a:p>
            <a:pPr algn="ctr" rtl="1">
              <a:defRPr lang="ar-EG" sz="3600" b="1">
                <a:solidFill>
                  <a:sysClr val="window" lastClr="FFFFFF"/>
                </a:solidFill>
              </a:defRPr>
            </a:pPr>
            <a:endParaRPr lang="ar-EG" sz="3600" b="1" i="0" u="none" strike="noStrike" kern="1200" spc="0" baseline="0">
              <a:solidFill>
                <a:sysClr val="window" lastClr="FFFFFF"/>
              </a:solidFill>
              <a:latin typeface="+mn-lt"/>
              <a:ea typeface="+mn-ea"/>
              <a:cs typeface="+mn-cs"/>
            </a:endParaRPr>
          </a:p>
        </c:rich>
      </c:tx>
      <c:overlay val="0"/>
      <c:spPr>
        <a:noFill/>
        <a:ln>
          <a:noFill/>
        </a:ln>
        <a:effectLst/>
      </c:spPr>
      <c:txPr>
        <a:bodyPr rot="0" spcFirstLastPara="1" vertOverflow="ellipsis" vert="horz" wrap="square" anchor="ctr" anchorCtr="1"/>
        <a:lstStyle/>
        <a:p>
          <a:pPr algn="ctr" rtl="1">
            <a:defRPr lang="ar-EG" sz="3600" b="1" i="0" u="none" strike="noStrike" kern="1200" spc="0" baseline="0">
              <a:solidFill>
                <a:sysClr val="window" lastClr="FFFFF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2000" b="0" i="0" u="none" strike="noStrike" kern="1200" baseline="0">
                  <a:solidFill>
                    <a:schemeClr val="bg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2000" b="0" i="0" u="none" strike="noStrike" kern="1200" baseline="0">
                  <a:solidFill>
                    <a:schemeClr val="bg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'المشاريع لكل شهر'!$B$1:$B$2</c:f>
              <c:strCache>
                <c:ptCount val="1"/>
                <c:pt idx="0">
                  <c:v>2024</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2000" b="0" i="0" u="none" strike="noStrike" kern="1200" baseline="0">
                    <a:solidFill>
                      <a:schemeClr val="bg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'المشاريع لكل شهر'!$A$3:$A$9</c:f>
              <c:strCache>
                <c:ptCount val="6"/>
                <c:pt idx="0">
                  <c:v>Jan</c:v>
                </c:pt>
                <c:pt idx="1">
                  <c:v>May</c:v>
                </c:pt>
                <c:pt idx="2">
                  <c:v>Aug</c:v>
                </c:pt>
                <c:pt idx="3">
                  <c:v>Sep</c:v>
                </c:pt>
                <c:pt idx="4">
                  <c:v>Oct</c:v>
                </c:pt>
                <c:pt idx="5">
                  <c:v>Dec</c:v>
                </c:pt>
              </c:strCache>
            </c:strRef>
          </c:cat>
          <c:val>
            <c:numRef>
              <c:f>'المشاريع لكل شهر'!$B$3:$B$9</c:f>
              <c:numCache>
                <c:formatCode>General</c:formatCode>
                <c:ptCount val="6"/>
                <c:pt idx="0">
                  <c:v>6</c:v>
                </c:pt>
                <c:pt idx="1">
                  <c:v>1</c:v>
                </c:pt>
                <c:pt idx="2">
                  <c:v>1</c:v>
                </c:pt>
                <c:pt idx="3">
                  <c:v>1</c:v>
                </c:pt>
                <c:pt idx="4">
                  <c:v>1</c:v>
                </c:pt>
                <c:pt idx="5">
                  <c:v>2</c:v>
                </c:pt>
              </c:numCache>
            </c:numRef>
          </c:val>
          <c:extLst>
            <c:ext xmlns:c16="http://schemas.microsoft.com/office/drawing/2014/chart" uri="{C3380CC4-5D6E-409C-BE32-E72D297353CC}">
              <c16:uniqueId val="{00000004-AA65-4527-B545-89CC90ADDC00}"/>
            </c:ext>
          </c:extLst>
        </c:ser>
        <c:ser>
          <c:idx val="1"/>
          <c:order val="1"/>
          <c:tx>
            <c:strRef>
              <c:f>'المشاريع لكل شهر'!$C$1:$C$2</c:f>
              <c:strCache>
                <c:ptCount val="1"/>
                <c:pt idx="0">
                  <c:v>2025</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2000" b="0" i="0" u="none" strike="noStrike" kern="1200" baseline="0">
                    <a:solidFill>
                      <a:schemeClr val="bg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'المشاريع لكل شهر'!$A$3:$A$9</c:f>
              <c:strCache>
                <c:ptCount val="6"/>
                <c:pt idx="0">
                  <c:v>Jan</c:v>
                </c:pt>
                <c:pt idx="1">
                  <c:v>May</c:v>
                </c:pt>
                <c:pt idx="2">
                  <c:v>Aug</c:v>
                </c:pt>
                <c:pt idx="3">
                  <c:v>Sep</c:v>
                </c:pt>
                <c:pt idx="4">
                  <c:v>Oct</c:v>
                </c:pt>
                <c:pt idx="5">
                  <c:v>Dec</c:v>
                </c:pt>
              </c:strCache>
            </c:strRef>
          </c:cat>
          <c:val>
            <c:numRef>
              <c:f>'المشاريع لكل شهر'!$C$3:$C$9</c:f>
              <c:numCache>
                <c:formatCode>General</c:formatCode>
                <c:ptCount val="6"/>
                <c:pt idx="3">
                  <c:v>1</c:v>
                </c:pt>
              </c:numCache>
            </c:numRef>
          </c:val>
          <c:extLst>
            <c:ext xmlns:c16="http://schemas.microsoft.com/office/drawing/2014/chart" uri="{C3380CC4-5D6E-409C-BE32-E72D297353CC}">
              <c16:uniqueId val="{00000000-33FB-4D20-9573-265C813330E1}"/>
            </c:ext>
          </c:extLst>
        </c:ser>
        <c:dLbls>
          <c:dLblPos val="outEnd"/>
          <c:showLegendKey val="0"/>
          <c:showVal val="1"/>
          <c:showCatName val="0"/>
          <c:showSerName val="0"/>
          <c:showPercent val="0"/>
          <c:showBubbleSize val="0"/>
        </c:dLbls>
        <c:gapWidth val="219"/>
        <c:overlap val="-27"/>
        <c:axId val="1364704672"/>
        <c:axId val="1364705632"/>
      </c:barChart>
      <c:catAx>
        <c:axId val="1364704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2000" b="0" i="0" u="none" strike="noStrike" kern="1200" baseline="0">
                <a:solidFill>
                  <a:schemeClr val="bg1"/>
                </a:solidFill>
                <a:latin typeface="+mn-lt"/>
                <a:ea typeface="+mn-ea"/>
                <a:cs typeface="+mn-cs"/>
              </a:defRPr>
            </a:pPr>
            <a:endParaRPr lang="en-US"/>
          </a:p>
        </c:txPr>
        <c:crossAx val="1364705632"/>
        <c:crosses val="autoZero"/>
        <c:auto val="1"/>
        <c:lblAlgn val="ctr"/>
        <c:lblOffset val="100"/>
        <c:noMultiLvlLbl val="0"/>
      </c:catAx>
      <c:valAx>
        <c:axId val="1364705632"/>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364704672"/>
        <c:crosses val="autoZero"/>
        <c:crossBetween val="between"/>
      </c:valAx>
      <c:spPr>
        <a:noFill/>
        <a:ln>
          <a:noFill/>
        </a:ln>
        <a:effectLst/>
      </c:spPr>
    </c:plotArea>
    <c:legend>
      <c:legendPos val="t"/>
      <c:layout>
        <c:manualLayout>
          <c:xMode val="edge"/>
          <c:yMode val="edge"/>
          <c:x val="0.75893490573613587"/>
          <c:y val="4.8025685923358721E-2"/>
          <c:w val="0.15970754858946373"/>
          <c:h val="7.8808456446114339E-2"/>
        </c:manualLayout>
      </c:layout>
      <c:overlay val="0"/>
      <c:spPr>
        <a:noFill/>
        <a:ln>
          <a:noFill/>
        </a:ln>
        <a:effectLst/>
      </c:spPr>
      <c:txPr>
        <a:bodyPr rot="0" spcFirstLastPara="1" vertOverflow="ellipsis" vert="horz" wrap="square" anchor="ctr" anchorCtr="1"/>
        <a:lstStyle/>
        <a:p>
          <a:pPr>
            <a:defRPr lang="en-US" sz="1600" b="0" i="0" u="none" strike="noStrike" kern="1200" baseline="0">
              <a:solidFill>
                <a:schemeClr val="bg1"/>
              </a:solidFill>
              <a:latin typeface="Arial Black" panose="020B0A040201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14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[تحليل مالي استاذ ياسر.xlsx]المناطق والجهات!PivotTable3</c:name>
    <c:fmtId val="3"/>
  </c:pivotSource>
  <c:chart>
    <c:title>
      <c:tx>
        <c:rich>
          <a:bodyPr rot="0" spcFirstLastPara="1" vertOverflow="ellipsis" vert="horz" wrap="square" anchor="ctr" anchorCtr="1"/>
          <a:lstStyle/>
          <a:p>
            <a:pPr algn="ctr" rtl="1">
              <a:defRPr lang="ar-EG" sz="3600" b="1" i="0" u="none" strike="noStrike" kern="1200" spc="0" baseline="0">
                <a:solidFill>
                  <a:sysClr val="window" lastClr="FFFFFF"/>
                </a:solidFill>
                <a:latin typeface="+mn-lt"/>
                <a:ea typeface="+mn-ea"/>
                <a:cs typeface="+mn-cs"/>
              </a:defRPr>
            </a:pPr>
            <a:r>
              <a:rPr lang="ar-EG" sz="3600" b="1" i="0" u="none" strike="noStrike" kern="1200" spc="0" baseline="0">
                <a:solidFill>
                  <a:sysClr val="window" lastClr="FFFFFF"/>
                </a:solidFill>
                <a:latin typeface="+mn-lt"/>
                <a:ea typeface="+mn-ea"/>
                <a:cs typeface="+mn-cs"/>
              </a:rPr>
              <a:t>نسبة المشاريع حسب الجهة</a:t>
            </a:r>
          </a:p>
        </c:rich>
      </c:tx>
      <c:overlay val="0"/>
      <c:spPr>
        <a:noFill/>
        <a:ln>
          <a:noFill/>
        </a:ln>
        <a:effectLst/>
      </c:spPr>
      <c:txPr>
        <a:bodyPr rot="0" spcFirstLastPara="1" vertOverflow="ellipsis" vert="horz" wrap="square" anchor="ctr" anchorCtr="1"/>
        <a:lstStyle/>
        <a:p>
          <a:pPr algn="ctr" rtl="1">
            <a:defRPr lang="ar-EG" sz="3600" b="1" i="0" u="none" strike="noStrike" kern="1200" spc="0" baseline="0">
              <a:solidFill>
                <a:sysClr val="window" lastClr="FFFFFF"/>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2000" b="1"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'المناطق والجهات'!$J$3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4F6-4AFD-8959-943E9473AC3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B2E-4039-AF19-87504AA7C54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B2E-4039-AF19-87504AA7C541}"/>
              </c:ext>
            </c:extLst>
          </c:dPt>
          <c:dLbls>
            <c:spPr>
              <a:noFill/>
              <a:ln>
                <a:noFill/>
              </a:ln>
              <a:effectLst/>
            </c:spPr>
            <c:txPr>
              <a:bodyPr rot="0" spcFirstLastPara="1" vertOverflow="ellipsis" vert="horz" wrap="square" anchor="ctr" anchorCtr="1"/>
              <a:lstStyle/>
              <a:p>
                <a:pPr>
                  <a:defRPr sz="2000" b="1"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'المناطق والجهات'!$I$4:$I$7</c:f>
              <c:strCache>
                <c:ptCount val="3"/>
                <c:pt idx="0">
                  <c:v>وزارة التعليم</c:v>
                </c:pt>
                <c:pt idx="1">
                  <c:v>وزارة الشباب</c:v>
                </c:pt>
                <c:pt idx="2">
                  <c:v>وزارة الصحة</c:v>
                </c:pt>
              </c:strCache>
            </c:strRef>
          </c:cat>
          <c:val>
            <c:numRef>
              <c:f>'المناطق والجهات'!$J$4:$J$7</c:f>
              <c:numCache>
                <c:formatCode>General</c:formatCode>
                <c:ptCount val="3"/>
                <c:pt idx="0">
                  <c:v>3</c:v>
                </c:pt>
                <c:pt idx="1">
                  <c:v>1</c:v>
                </c:pt>
                <c:pt idx="2">
                  <c:v>9</c:v>
                </c:pt>
              </c:numCache>
            </c:numRef>
          </c:val>
          <c:extLst>
            <c:ext xmlns:c16="http://schemas.microsoft.com/office/drawing/2014/chart" uri="{C3380CC4-5D6E-409C-BE32-E72D297353CC}">
              <c16:uniqueId val="{00000008-7F5F-4EF0-81D6-9B602944F62F}"/>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600" b="1" i="0" u="none" strike="noStrike" kern="1200" baseline="0">
              <a:solidFill>
                <a:schemeClr val="bg1"/>
              </a:solidFill>
              <a:latin typeface="Arial Black" panose="020B0A040201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[تحليل مالي استاذ ياسر.xlsx]المناطق والجهات!PivotTable2</c:name>
    <c:fmtId val="3"/>
  </c:pivotSource>
  <c:chart>
    <c:title>
      <c:tx>
        <c:rich>
          <a:bodyPr rot="0" spcFirstLastPara="1" vertOverflow="ellipsis" vert="horz" wrap="square" anchor="ctr" anchorCtr="1"/>
          <a:lstStyle/>
          <a:p>
            <a:pPr algn="ctr" rtl="1">
              <a:defRPr lang="ar-EG" sz="3200" b="1" i="0" u="none" strike="noStrike" kern="1200" spc="0" baseline="0">
                <a:solidFill>
                  <a:sysClr val="window" lastClr="FFFFFF"/>
                </a:solidFill>
                <a:latin typeface="+mn-lt"/>
                <a:ea typeface="+mn-ea"/>
                <a:cs typeface="+mn-cs"/>
              </a:defRPr>
            </a:pPr>
            <a:r>
              <a:rPr lang="ar-EG" sz="3200" b="1" i="0" u="none" strike="noStrike" kern="1200" spc="0" baseline="0">
                <a:solidFill>
                  <a:sysClr val="window" lastClr="FFFFFF"/>
                </a:solidFill>
                <a:latin typeface="+mn-lt"/>
                <a:ea typeface="+mn-ea"/>
                <a:cs typeface="+mn-cs"/>
              </a:rPr>
              <a:t>عدد المشاريع حسب المناطق</a:t>
            </a:r>
          </a:p>
        </c:rich>
      </c:tx>
      <c:overlay val="0"/>
      <c:spPr>
        <a:noFill/>
        <a:ln>
          <a:noFill/>
        </a:ln>
        <a:effectLst/>
      </c:spPr>
      <c:txPr>
        <a:bodyPr rot="0" spcFirstLastPara="1" vertOverflow="ellipsis" vert="horz" wrap="square" anchor="ctr" anchorCtr="1"/>
        <a:lstStyle/>
        <a:p>
          <a:pPr algn="ctr" rtl="1">
            <a:defRPr lang="ar-EG" sz="3200" b="1" i="0" u="none" strike="noStrike" kern="1200" spc="0" baseline="0">
              <a:solidFill>
                <a:sysClr val="window" lastClr="FFFFF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2000" b="1" i="0" u="none" strike="noStrike" kern="1200" baseline="0">
                  <a:solidFill>
                    <a:schemeClr val="bg1"/>
                  </a:solidFill>
                  <a:latin typeface="Arial Black" panose="020B0A04020102020204" pitchFamily="34" charset="0"/>
                  <a:ea typeface="+mn-ea"/>
                  <a:cs typeface="Sakkal Majalla" panose="02000000000000000000" pitchFamily="2" charset="-78"/>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37732644228973"/>
          <c:y val="0.11251962079345529"/>
          <c:w val="0.83162267355771025"/>
          <c:h val="0.88748037920654466"/>
        </c:manualLayout>
      </c:layout>
      <c:barChart>
        <c:barDir val="bar"/>
        <c:grouping val="clustered"/>
        <c:varyColors val="0"/>
        <c:ser>
          <c:idx val="0"/>
          <c:order val="0"/>
          <c:tx>
            <c:strRef>
              <c:f>'المناطق والجهات'!$B$3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0"/>
              <a:lstStyle/>
              <a:p>
                <a:pPr algn="ctr">
                  <a:defRPr lang="en-US" sz="2000" b="1" i="0" u="none" strike="noStrike" kern="1200" baseline="0">
                    <a:solidFill>
                      <a:schemeClr val="bg1"/>
                    </a:solidFill>
                    <a:latin typeface="Arial Black" panose="020B0A04020102020204" pitchFamily="34" charset="0"/>
                    <a:ea typeface="+mn-ea"/>
                    <a:cs typeface="Sakkal Majalla" panose="02000000000000000000" pitchFamily="2" charset="-78"/>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'المناطق والجهات'!$A$4:$A$7</c:f>
              <c:strCache>
                <c:ptCount val="3"/>
                <c:pt idx="0">
                  <c:v>الرياض</c:v>
                </c:pt>
                <c:pt idx="1">
                  <c:v>المدينة</c:v>
                </c:pt>
                <c:pt idx="2">
                  <c:v>جدة</c:v>
                </c:pt>
              </c:strCache>
            </c:strRef>
          </c:cat>
          <c:val>
            <c:numRef>
              <c:f>'المناطق والجهات'!$B$4:$B$7</c:f>
              <c:numCache>
                <c:formatCode>General</c:formatCode>
                <c:ptCount val="3"/>
                <c:pt idx="0">
                  <c:v>4</c:v>
                </c:pt>
                <c:pt idx="1">
                  <c:v>3</c:v>
                </c:pt>
                <c:pt idx="2">
                  <c:v>6</c:v>
                </c:pt>
              </c:numCache>
            </c:numRef>
          </c:val>
          <c:extLst>
            <c:ext xmlns:c16="http://schemas.microsoft.com/office/drawing/2014/chart" uri="{C3380CC4-5D6E-409C-BE32-E72D297353CC}">
              <c16:uniqueId val="{00000002-689E-4078-B282-1583C01753B6}"/>
            </c:ext>
          </c:extLst>
        </c:ser>
        <c:dLbls>
          <c:showLegendKey val="0"/>
          <c:showVal val="0"/>
          <c:showCatName val="0"/>
          <c:showSerName val="0"/>
          <c:showPercent val="0"/>
          <c:showBubbleSize val="0"/>
        </c:dLbls>
        <c:gapWidth val="182"/>
        <c:axId val="412726207"/>
        <c:axId val="412702687"/>
      </c:barChart>
      <c:catAx>
        <c:axId val="412726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800" b="1" i="0" u="none" strike="noStrike" kern="1200" baseline="0">
                <a:solidFill>
                  <a:schemeClr val="bg1"/>
                </a:solidFill>
                <a:latin typeface="+mn-lt"/>
                <a:ea typeface="+mn-ea"/>
                <a:cs typeface="+mn-cs"/>
              </a:defRPr>
            </a:pPr>
            <a:endParaRPr lang="en-US"/>
          </a:p>
        </c:txPr>
        <c:crossAx val="412702687"/>
        <c:crosses val="autoZero"/>
        <c:auto val="1"/>
        <c:lblAlgn val="ctr"/>
        <c:lblOffset val="100"/>
        <c:noMultiLvlLbl val="0"/>
      </c:catAx>
      <c:valAx>
        <c:axId val="412702687"/>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4127262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lgn="ctr">
        <a:defRPr lang="en-US" sz="1200" b="1"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[تحليل مالي استاذ ياسر.xlsx]المبيعات والربح!PivotTable8</c:name>
    <c:fmtId val="3"/>
  </c:pivotSource>
  <c:chart>
    <c:title>
      <c:tx>
        <c:rich>
          <a:bodyPr rot="0" spcFirstLastPara="1" vertOverflow="ellipsis" vert="horz" wrap="square" anchor="ctr" anchorCtr="1"/>
          <a:lstStyle/>
          <a:p>
            <a:pPr algn="ctr" rtl="1">
              <a:defRPr lang="ar-EG" sz="3600" b="1" i="0" u="none" strike="noStrike" kern="1200" spc="0" baseline="0">
                <a:solidFill>
                  <a:sysClr val="window" lastClr="FFFFFF"/>
                </a:solidFill>
                <a:latin typeface="+mn-lt"/>
                <a:ea typeface="+mn-ea"/>
                <a:cs typeface="+mn-cs"/>
              </a:defRPr>
            </a:pPr>
            <a:r>
              <a:rPr lang="ar-EG" sz="3600" b="1" i="0" u="none" strike="noStrike" kern="1200" spc="0" baseline="0">
                <a:solidFill>
                  <a:sysClr val="window" lastClr="FFFFFF"/>
                </a:solidFill>
                <a:latin typeface="+mn-lt"/>
                <a:ea typeface="+mn-ea"/>
                <a:cs typeface="+mn-cs"/>
              </a:rPr>
              <a:t>المبيعات </a:t>
            </a:r>
          </a:p>
        </c:rich>
      </c:tx>
      <c:overlay val="0"/>
      <c:spPr>
        <a:noFill/>
        <a:ln>
          <a:noFill/>
        </a:ln>
        <a:effectLst/>
      </c:spPr>
      <c:txPr>
        <a:bodyPr rot="0" spcFirstLastPara="1" vertOverflow="ellipsis" vert="horz" wrap="square" anchor="ctr" anchorCtr="1"/>
        <a:lstStyle/>
        <a:p>
          <a:pPr algn="ctr" rtl="1">
            <a:defRPr lang="ar-EG" sz="3600" b="1" i="0" u="none" strike="noStrike" kern="1200" spc="0" baseline="0">
              <a:solidFill>
                <a:sysClr val="window" lastClr="FFFFF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2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0">
              <a:spAutoFit/>
            </a:bodyPr>
            <a:lstStyle/>
            <a:p>
              <a:pPr algn="ctr">
                <a:defRPr lang="en-US" sz="2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2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0">
              <a:spAutoFit/>
            </a:bodyPr>
            <a:lstStyle/>
            <a:p>
              <a:pPr algn="ctr">
                <a:defRPr lang="en-US" sz="2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2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'المبيعات والربح'!$A$3</c:f>
              <c:strCache>
                <c:ptCount val="1"/>
                <c:pt idx="0">
                  <c:v>الكمية</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2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'المبيعات والربح'!$A$4</c:f>
              <c:strCache>
                <c:ptCount val="1"/>
                <c:pt idx="0">
                  <c:v>Total</c:v>
                </c:pt>
              </c:strCache>
            </c:strRef>
          </c:cat>
          <c:val>
            <c:numRef>
              <c:f>'المبيعات والربح'!$A$4</c:f>
              <c:numCache>
                <c:formatCode>General</c:formatCode>
                <c:ptCount val="1"/>
                <c:pt idx="0">
                  <c:v>271</c:v>
                </c:pt>
              </c:numCache>
            </c:numRef>
          </c:val>
          <c:extLst>
            <c:ext xmlns:c16="http://schemas.microsoft.com/office/drawing/2014/chart" uri="{C3380CC4-5D6E-409C-BE32-E72D297353CC}">
              <c16:uniqueId val="{00000000-DB15-4F37-A72A-40CFE4339EA4}"/>
            </c:ext>
          </c:extLst>
        </c:ser>
        <c:ser>
          <c:idx val="1"/>
          <c:order val="1"/>
          <c:tx>
            <c:strRef>
              <c:f>'المبيعات والربح'!$B$3</c:f>
              <c:strCache>
                <c:ptCount val="1"/>
                <c:pt idx="0">
                  <c:v>إجمالي البيع بدون ضريبة</c:v>
                </c:pt>
              </c:strCache>
            </c:strRef>
          </c:tx>
          <c:spPr>
            <a:solidFill>
              <a:schemeClr val="accent2"/>
            </a:solidFill>
            <a:ln>
              <a:noFill/>
            </a:ln>
            <a:effectLst/>
          </c:spPr>
          <c:invertIfNegative val="0"/>
          <c:dLbls>
            <c:numFmt formatCode="General" sourceLinked="0"/>
            <c:spPr>
              <a:noFill/>
              <a:ln>
                <a:noFill/>
              </a:ln>
              <a:effectLst/>
            </c:spPr>
            <c:txPr>
              <a:bodyPr rot="0" spcFirstLastPara="1" vertOverflow="ellipsis" vert="horz" wrap="square" lIns="38100" tIns="19050" rIns="38100" bIns="19050" anchor="ctr" anchorCtr="0">
                <a:spAutoFit/>
              </a:bodyPr>
              <a:lstStyle/>
              <a:p>
                <a:pPr algn="ctr">
                  <a:defRPr lang="en-US" sz="2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'المبيعات والربح'!$A$4</c:f>
              <c:strCache>
                <c:ptCount val="1"/>
                <c:pt idx="0">
                  <c:v>Total</c:v>
                </c:pt>
              </c:strCache>
            </c:strRef>
          </c:cat>
          <c:val>
            <c:numRef>
              <c:f>'المبيعات والربح'!$B$4</c:f>
              <c:numCache>
                <c:formatCode>General</c:formatCode>
                <c:ptCount val="1"/>
                <c:pt idx="0">
                  <c:v>57136.3</c:v>
                </c:pt>
              </c:numCache>
            </c:numRef>
          </c:val>
          <c:extLst>
            <c:ext xmlns:c16="http://schemas.microsoft.com/office/drawing/2014/chart" uri="{C3380CC4-5D6E-409C-BE32-E72D297353CC}">
              <c16:uniqueId val="{00000001-DB15-4F37-A72A-40CFE4339EA4}"/>
            </c:ext>
          </c:extLst>
        </c:ser>
        <c:ser>
          <c:idx val="2"/>
          <c:order val="2"/>
          <c:tx>
            <c:strRef>
              <c:f>'المبيعات والربح'!$C$3</c:f>
              <c:strCache>
                <c:ptCount val="1"/>
                <c:pt idx="0">
                  <c:v>الضريبة</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2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'المبيعات والربح'!$A$4</c:f>
              <c:strCache>
                <c:ptCount val="1"/>
                <c:pt idx="0">
                  <c:v>Total</c:v>
                </c:pt>
              </c:strCache>
            </c:strRef>
          </c:cat>
          <c:val>
            <c:numRef>
              <c:f>'المبيعات والربح'!$C$4</c:f>
              <c:numCache>
                <c:formatCode>General</c:formatCode>
                <c:ptCount val="1"/>
                <c:pt idx="0">
                  <c:v>8570.4449999999997</c:v>
                </c:pt>
              </c:numCache>
            </c:numRef>
          </c:val>
          <c:extLst>
            <c:ext xmlns:c16="http://schemas.microsoft.com/office/drawing/2014/chart" uri="{C3380CC4-5D6E-409C-BE32-E72D297353CC}">
              <c16:uniqueId val="{00000002-DB15-4F37-A72A-40CFE4339EA4}"/>
            </c:ext>
          </c:extLst>
        </c:ser>
        <c:ser>
          <c:idx val="3"/>
          <c:order val="3"/>
          <c:tx>
            <c:strRef>
              <c:f>'المبيعات والربح'!$D$3</c:f>
              <c:strCache>
                <c:ptCount val="1"/>
                <c:pt idx="0">
                  <c:v>إجمالي البيع مع الضريبة</c:v>
                </c:pt>
              </c:strCache>
            </c:strRef>
          </c:tx>
          <c:spPr>
            <a:solidFill>
              <a:schemeClr val="accent4"/>
            </a:solidFill>
            <a:ln>
              <a:noFill/>
            </a:ln>
            <a:effectLst/>
          </c:spPr>
          <c:invertIfNegative val="0"/>
          <c:dLbls>
            <c:numFmt formatCode="General" sourceLinked="0"/>
            <c:spPr>
              <a:noFill/>
              <a:ln>
                <a:noFill/>
              </a:ln>
              <a:effectLst/>
            </c:spPr>
            <c:txPr>
              <a:bodyPr rot="0" spcFirstLastPara="1" vertOverflow="ellipsis" vert="horz" wrap="square" lIns="38100" tIns="19050" rIns="38100" bIns="19050" anchor="ctr" anchorCtr="0">
                <a:spAutoFit/>
              </a:bodyPr>
              <a:lstStyle/>
              <a:p>
                <a:pPr algn="ctr">
                  <a:defRPr lang="en-US" sz="2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'المبيعات والربح'!$A$4</c:f>
              <c:strCache>
                <c:ptCount val="1"/>
                <c:pt idx="0">
                  <c:v>Total</c:v>
                </c:pt>
              </c:strCache>
            </c:strRef>
          </c:cat>
          <c:val>
            <c:numRef>
              <c:f>'المبيعات والربح'!$D$4</c:f>
              <c:numCache>
                <c:formatCode>General</c:formatCode>
                <c:ptCount val="1"/>
                <c:pt idx="0">
                  <c:v>65706.744999999995</c:v>
                </c:pt>
              </c:numCache>
            </c:numRef>
          </c:val>
          <c:extLst>
            <c:ext xmlns:c16="http://schemas.microsoft.com/office/drawing/2014/chart" uri="{C3380CC4-5D6E-409C-BE32-E72D297353CC}">
              <c16:uniqueId val="{00000003-DB15-4F37-A72A-40CFE4339EA4}"/>
            </c:ext>
          </c:extLst>
        </c:ser>
        <c:ser>
          <c:idx val="4"/>
          <c:order val="4"/>
          <c:tx>
            <c:strRef>
              <c:f>'المبيعات والربح'!$E$3</c:f>
              <c:strCache>
                <c:ptCount val="1"/>
                <c:pt idx="0">
                  <c:v>إجمالي الربح</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2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'المبيعات والربح'!$A$4</c:f>
              <c:strCache>
                <c:ptCount val="1"/>
                <c:pt idx="0">
                  <c:v>Total</c:v>
                </c:pt>
              </c:strCache>
            </c:strRef>
          </c:cat>
          <c:val>
            <c:numRef>
              <c:f>'المبيعات والربح'!$E$4</c:f>
              <c:numCache>
                <c:formatCode>General</c:formatCode>
                <c:ptCount val="1"/>
                <c:pt idx="0">
                  <c:v>53842.814999999995</c:v>
                </c:pt>
              </c:numCache>
            </c:numRef>
          </c:val>
          <c:extLst>
            <c:ext xmlns:c16="http://schemas.microsoft.com/office/drawing/2014/chart" uri="{C3380CC4-5D6E-409C-BE32-E72D297353CC}">
              <c16:uniqueId val="{00000004-DB15-4F37-A72A-40CFE4339EA4}"/>
            </c:ext>
          </c:extLst>
        </c:ser>
        <c:dLbls>
          <c:dLblPos val="outEnd"/>
          <c:showLegendKey val="0"/>
          <c:showVal val="1"/>
          <c:showCatName val="0"/>
          <c:showSerName val="0"/>
          <c:showPercent val="0"/>
          <c:showBubbleSize val="0"/>
        </c:dLbls>
        <c:gapWidth val="219"/>
        <c:overlap val="-27"/>
        <c:axId val="2128326448"/>
        <c:axId val="2128318288"/>
      </c:barChart>
      <c:catAx>
        <c:axId val="2128326448"/>
        <c:scaling>
          <c:orientation val="minMax"/>
        </c:scaling>
        <c:delete val="1"/>
        <c:axPos val="b"/>
        <c:numFmt formatCode="General" sourceLinked="1"/>
        <c:majorTickMark val="none"/>
        <c:minorTickMark val="none"/>
        <c:tickLblPos val="nextTo"/>
        <c:crossAx val="2128318288"/>
        <c:crosses val="autoZero"/>
        <c:auto val="1"/>
        <c:lblAlgn val="ctr"/>
        <c:lblOffset val="100"/>
        <c:noMultiLvlLbl val="0"/>
      </c:catAx>
      <c:valAx>
        <c:axId val="2128318288"/>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2128326448"/>
        <c:crosses val="autoZero"/>
        <c:crossBetween val="between"/>
      </c:valAx>
      <c:spPr>
        <a:noFill/>
        <a:ln>
          <a:noFill/>
        </a:ln>
        <a:effectLst/>
      </c:spPr>
    </c:plotArea>
    <c:legend>
      <c:legendPos val="r"/>
      <c:layout>
        <c:manualLayout>
          <c:xMode val="edge"/>
          <c:yMode val="edge"/>
          <c:x val="0.72681960459636086"/>
          <c:y val="9.9584456052406525E-2"/>
          <c:w val="0.27221461926400353"/>
          <c:h val="0.82650245503172626"/>
        </c:manualLayout>
      </c:layout>
      <c:overlay val="0"/>
      <c:spPr>
        <a:noFill/>
        <a:ln>
          <a:noFill/>
        </a:ln>
        <a:effectLst/>
      </c:spPr>
      <c:txPr>
        <a:bodyPr rot="0" spcFirstLastPara="1" vertOverflow="ellipsis" vert="horz" wrap="square" anchor="ctr" anchorCtr="1"/>
        <a:lstStyle/>
        <a:p>
          <a:pPr>
            <a:defRPr lang="en-US" sz="2400" b="1" i="0" u="none" strike="noStrike" kern="1200" baseline="0">
              <a:solidFill>
                <a:schemeClr val="bg1"/>
              </a:solidFill>
              <a:latin typeface="Arial Black" panose="020B0A040201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14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[تحليل مالي استاذ ياسر.xlsx]التكاليف!PivotTable9</c:name>
    <c:fmtId val="3"/>
  </c:pivotSource>
  <c:chart>
    <c:title>
      <c:tx>
        <c:rich>
          <a:bodyPr rot="0" spcFirstLastPara="1" vertOverflow="ellipsis" vert="horz" wrap="square" anchor="ctr" anchorCtr="1"/>
          <a:lstStyle/>
          <a:p>
            <a:pPr algn="ctr" rtl="1">
              <a:defRPr lang="ar-EG" sz="3600" b="1" i="0" u="none" strike="noStrike" kern="1200" spc="0" baseline="0">
                <a:solidFill>
                  <a:sysClr val="window" lastClr="FFFFFF"/>
                </a:solidFill>
                <a:latin typeface="+mn-lt"/>
                <a:ea typeface="+mn-ea"/>
                <a:cs typeface="+mn-cs"/>
              </a:defRPr>
            </a:pPr>
            <a:r>
              <a:rPr lang="ar-EG" sz="3600" b="1" i="0" u="none" strike="noStrike" kern="1200" spc="0" baseline="0">
                <a:solidFill>
                  <a:sysClr val="window" lastClr="FFFFFF"/>
                </a:solidFill>
                <a:latin typeface="+mn-lt"/>
                <a:ea typeface="+mn-ea"/>
                <a:cs typeface="+mn-cs"/>
              </a:rPr>
              <a:t>التكاليف</a:t>
            </a:r>
          </a:p>
        </c:rich>
      </c:tx>
      <c:overlay val="0"/>
      <c:spPr>
        <a:noFill/>
        <a:ln>
          <a:noFill/>
        </a:ln>
        <a:effectLst/>
      </c:spPr>
      <c:txPr>
        <a:bodyPr rot="0" spcFirstLastPara="1" vertOverflow="ellipsis" vert="horz" wrap="square" anchor="ctr" anchorCtr="1"/>
        <a:lstStyle/>
        <a:p>
          <a:pPr algn="ctr" rtl="1">
            <a:defRPr lang="ar-EG" sz="3600" b="1" i="0" u="none" strike="noStrike" kern="1200" spc="0" baseline="0">
              <a:solidFill>
                <a:sysClr val="window" lastClr="FFFFF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2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2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2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2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2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2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التكاليف!$A$3</c:f>
              <c:strCache>
                <c:ptCount val="1"/>
                <c:pt idx="0">
                  <c:v>تكلفة الحبة الواحدة</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2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التكاليف!$A$4</c:f>
              <c:strCache>
                <c:ptCount val="1"/>
                <c:pt idx="0">
                  <c:v>Total</c:v>
                </c:pt>
              </c:strCache>
            </c:strRef>
          </c:cat>
          <c:val>
            <c:numRef>
              <c:f>التكاليف!$A$4</c:f>
              <c:numCache>
                <c:formatCode>General</c:formatCode>
                <c:ptCount val="1"/>
                <c:pt idx="0">
                  <c:v>2203</c:v>
                </c:pt>
              </c:numCache>
            </c:numRef>
          </c:val>
          <c:extLst>
            <c:ext xmlns:c16="http://schemas.microsoft.com/office/drawing/2014/chart" uri="{C3380CC4-5D6E-409C-BE32-E72D297353CC}">
              <c16:uniqueId val="{00000000-062D-4C1D-93A0-1D486964F440}"/>
            </c:ext>
          </c:extLst>
        </c:ser>
        <c:ser>
          <c:idx val="1"/>
          <c:order val="1"/>
          <c:tx>
            <c:strRef>
              <c:f>التكاليف!$B$3</c:f>
              <c:strCache>
                <c:ptCount val="1"/>
                <c:pt idx="0">
                  <c:v>المخاطرة 10%</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2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التكاليف!$A$4</c:f>
              <c:strCache>
                <c:ptCount val="1"/>
                <c:pt idx="0">
                  <c:v>Total</c:v>
                </c:pt>
              </c:strCache>
            </c:strRef>
          </c:cat>
          <c:val>
            <c:numRef>
              <c:f>التكاليف!$B$4</c:f>
              <c:numCache>
                <c:formatCode>General</c:formatCode>
                <c:ptCount val="1"/>
                <c:pt idx="0">
                  <c:v>220.3</c:v>
                </c:pt>
              </c:numCache>
            </c:numRef>
          </c:val>
          <c:extLst>
            <c:ext xmlns:c16="http://schemas.microsoft.com/office/drawing/2014/chart" uri="{C3380CC4-5D6E-409C-BE32-E72D297353CC}">
              <c16:uniqueId val="{00000001-062D-4C1D-93A0-1D486964F440}"/>
            </c:ext>
          </c:extLst>
        </c:ser>
        <c:ser>
          <c:idx val="2"/>
          <c:order val="2"/>
          <c:tx>
            <c:strRef>
              <c:f>التكاليف!$C$3</c:f>
              <c:strCache>
                <c:ptCount val="1"/>
                <c:pt idx="0">
                  <c:v>ضريبة المنتج الواحد</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2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التكاليف!$A$4</c:f>
              <c:strCache>
                <c:ptCount val="1"/>
                <c:pt idx="0">
                  <c:v>Total</c:v>
                </c:pt>
              </c:strCache>
            </c:strRef>
          </c:cat>
          <c:val>
            <c:numRef>
              <c:f>التكاليف!$C$4</c:f>
              <c:numCache>
                <c:formatCode>General</c:formatCode>
                <c:ptCount val="1"/>
                <c:pt idx="0">
                  <c:v>429.58499999999998</c:v>
                </c:pt>
              </c:numCache>
            </c:numRef>
          </c:val>
          <c:extLst>
            <c:ext xmlns:c16="http://schemas.microsoft.com/office/drawing/2014/chart" uri="{C3380CC4-5D6E-409C-BE32-E72D297353CC}">
              <c16:uniqueId val="{00000002-062D-4C1D-93A0-1D486964F440}"/>
            </c:ext>
          </c:extLst>
        </c:ser>
        <c:ser>
          <c:idx val="3"/>
          <c:order val="3"/>
          <c:tx>
            <c:strRef>
              <c:f>التكاليف!$D$3</c:f>
              <c:strCache>
                <c:ptCount val="1"/>
                <c:pt idx="0">
                  <c:v>إجمالي التكاليف ( بعد الضرائب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2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التكاليف!$A$4</c:f>
              <c:strCache>
                <c:ptCount val="1"/>
                <c:pt idx="0">
                  <c:v>Total</c:v>
                </c:pt>
              </c:strCache>
            </c:strRef>
          </c:cat>
          <c:val>
            <c:numRef>
              <c:f>التكاليف!$D$4</c:f>
              <c:numCache>
                <c:formatCode>General</c:formatCode>
                <c:ptCount val="1"/>
                <c:pt idx="0">
                  <c:v>3293.4849999999997</c:v>
                </c:pt>
              </c:numCache>
            </c:numRef>
          </c:val>
          <c:extLst>
            <c:ext xmlns:c16="http://schemas.microsoft.com/office/drawing/2014/chart" uri="{C3380CC4-5D6E-409C-BE32-E72D297353CC}">
              <c16:uniqueId val="{00000003-062D-4C1D-93A0-1D486964F440}"/>
            </c:ext>
          </c:extLst>
        </c:ser>
        <c:dLbls>
          <c:dLblPos val="outEnd"/>
          <c:showLegendKey val="0"/>
          <c:showVal val="1"/>
          <c:showCatName val="0"/>
          <c:showSerName val="0"/>
          <c:showPercent val="0"/>
          <c:showBubbleSize val="0"/>
        </c:dLbls>
        <c:gapWidth val="219"/>
        <c:overlap val="-27"/>
        <c:axId val="412707487"/>
        <c:axId val="412718527"/>
      </c:barChart>
      <c:catAx>
        <c:axId val="412707487"/>
        <c:scaling>
          <c:orientation val="minMax"/>
        </c:scaling>
        <c:delete val="1"/>
        <c:axPos val="b"/>
        <c:numFmt formatCode="General" sourceLinked="1"/>
        <c:majorTickMark val="none"/>
        <c:minorTickMark val="none"/>
        <c:tickLblPos val="nextTo"/>
        <c:crossAx val="412718527"/>
        <c:crosses val="autoZero"/>
        <c:auto val="1"/>
        <c:lblAlgn val="ctr"/>
        <c:lblOffset val="100"/>
        <c:noMultiLvlLbl val="0"/>
      </c:catAx>
      <c:valAx>
        <c:axId val="412718527"/>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412707487"/>
        <c:crosses val="autoZero"/>
        <c:crossBetween val="between"/>
      </c:valAx>
      <c:spPr>
        <a:noFill/>
        <a:ln>
          <a:noFill/>
        </a:ln>
        <a:effectLst/>
      </c:spPr>
    </c:plotArea>
    <c:legend>
      <c:legendPos val="r"/>
      <c:layout>
        <c:manualLayout>
          <c:xMode val="edge"/>
          <c:yMode val="edge"/>
          <c:x val="0.69703429294050512"/>
          <c:y val="6.4546509900837989E-2"/>
          <c:w val="0.29544391830310812"/>
          <c:h val="0.89620101147309406"/>
        </c:manualLayout>
      </c:layout>
      <c:overlay val="0"/>
      <c:spPr>
        <a:noFill/>
        <a:ln>
          <a:noFill/>
        </a:ln>
        <a:effectLst/>
      </c:spPr>
      <c:txPr>
        <a:bodyPr rot="0" spcFirstLastPara="1" vertOverflow="ellipsis" vert="horz" wrap="square" anchor="ctr" anchorCtr="1"/>
        <a:lstStyle/>
        <a:p>
          <a:pPr algn="ctr">
            <a:defRPr lang="en-US" sz="2000" b="1" i="0" u="none" strike="noStrike" kern="1200" baseline="0">
              <a:solidFill>
                <a:schemeClr val="bg1"/>
              </a:solidFill>
              <a:latin typeface="Arial Black" panose="020B0A040201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400" b="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DF4-45A8-A4E2-7E9D3AD3275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DF4-45A8-A4E2-7E9D3AD32751}"/>
              </c:ext>
            </c:extLst>
          </c:dPt>
          <c:val>
            <c:numRef>
              <c:f>'مؤشرات اساسية'!$N$6:$N$7</c:f>
              <c:numCache>
                <c:formatCode>General</c:formatCode>
                <c:ptCount val="2"/>
                <c:pt idx="0">
                  <c:v>361.6</c:v>
                </c:pt>
                <c:pt idx="1">
                  <c:v>0</c:v>
                </c:pt>
              </c:numCache>
            </c:numRef>
          </c:val>
          <c:extLst>
            <c:ext xmlns:c16="http://schemas.microsoft.com/office/drawing/2014/chart" uri="{C3380CC4-5D6E-409C-BE32-E72D297353CC}">
              <c16:uniqueId val="{00000004-FDF4-45A8-A4E2-7E9D3AD32751}"/>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[تحليل مالي استاذ ياسر.xlsx]نسبة النمو!PivotTable12</c:name>
    <c:fmtId val="5"/>
  </c:pivotSource>
  <c:chart>
    <c:title>
      <c:tx>
        <c:rich>
          <a:bodyPr rot="0" spcFirstLastPara="1" vertOverflow="ellipsis" vert="horz" wrap="square" anchor="ctr" anchorCtr="1"/>
          <a:lstStyle/>
          <a:p>
            <a:pPr algn="ctr" rtl="1">
              <a:defRPr lang="ar-EG" sz="3200" b="1" i="0" u="none" strike="noStrike" kern="1200" spc="0" baseline="0">
                <a:solidFill>
                  <a:sysClr val="window" lastClr="FFFFFF"/>
                </a:solidFill>
                <a:latin typeface="+mn-lt"/>
                <a:ea typeface="+mn-ea"/>
                <a:cs typeface="+mn-cs"/>
              </a:defRPr>
            </a:pPr>
            <a:r>
              <a:rPr lang="ar-EG" sz="3200" b="1" i="0" u="none" strike="noStrike" kern="1200" spc="0" baseline="0">
                <a:solidFill>
                  <a:sysClr val="window" lastClr="FFFFFF"/>
                </a:solidFill>
                <a:latin typeface="+mn-lt"/>
                <a:ea typeface="+mn-ea"/>
                <a:cs typeface="+mn-cs"/>
              </a:rPr>
              <a:t>نسبة النمو للمشاريع</a:t>
            </a:r>
          </a:p>
        </c:rich>
      </c:tx>
      <c:overlay val="0"/>
      <c:spPr>
        <a:noFill/>
        <a:ln>
          <a:noFill/>
        </a:ln>
        <a:effectLst/>
      </c:spPr>
      <c:txPr>
        <a:bodyPr rot="0" spcFirstLastPara="1" vertOverflow="ellipsis" vert="horz" wrap="square" anchor="ctr" anchorCtr="1"/>
        <a:lstStyle/>
        <a:p>
          <a:pPr algn="ctr" rtl="1">
            <a:defRPr lang="ar-EG" sz="3200" b="1" i="0" u="none" strike="noStrike" kern="1200" spc="0" baseline="0">
              <a:solidFill>
                <a:sysClr val="window" lastClr="FFFFF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2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301117688800687E-2"/>
          <c:y val="0.20670254397068216"/>
          <c:w val="0.92499394736200891"/>
          <c:h val="0.76222161030486457"/>
        </c:manualLayout>
      </c:layout>
      <c:barChart>
        <c:barDir val="col"/>
        <c:grouping val="clustered"/>
        <c:varyColors val="0"/>
        <c:ser>
          <c:idx val="0"/>
          <c:order val="0"/>
          <c:tx>
            <c:strRef>
              <c:f>'نسبة النمو'!$B$3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2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'نسبة النمو'!$A$4:$A$10</c:f>
              <c:strCache>
                <c:ptCount val="6"/>
                <c:pt idx="0">
                  <c:v>Jan</c:v>
                </c:pt>
                <c:pt idx="1">
                  <c:v>May</c:v>
                </c:pt>
                <c:pt idx="2">
                  <c:v>Aug</c:v>
                </c:pt>
                <c:pt idx="3">
                  <c:v>Sep</c:v>
                </c:pt>
                <c:pt idx="4">
                  <c:v>Oct</c:v>
                </c:pt>
                <c:pt idx="5">
                  <c:v>Dec</c:v>
                </c:pt>
              </c:strCache>
            </c:strRef>
          </c:cat>
          <c:val>
            <c:numRef>
              <c:f>'نسبة النمو'!$B$4:$B$10</c:f>
              <c:numCache>
                <c:formatCode>0.00%</c:formatCode>
                <c:ptCount val="6"/>
                <c:pt idx="1">
                  <c:v>-0.83333333333333337</c:v>
                </c:pt>
                <c:pt idx="2">
                  <c:v>0</c:v>
                </c:pt>
                <c:pt idx="3">
                  <c:v>1</c:v>
                </c:pt>
                <c:pt idx="4">
                  <c:v>-0.5</c:v>
                </c:pt>
                <c:pt idx="5">
                  <c:v>1</c:v>
                </c:pt>
              </c:numCache>
            </c:numRef>
          </c:val>
          <c:extLst>
            <c:ext xmlns:c16="http://schemas.microsoft.com/office/drawing/2014/chart" uri="{C3380CC4-5D6E-409C-BE32-E72D297353CC}">
              <c16:uniqueId val="{00000002-EDB3-461E-BEC7-7DF26C3C173A}"/>
            </c:ext>
          </c:extLst>
        </c:ser>
        <c:dLbls>
          <c:dLblPos val="outEnd"/>
          <c:showLegendKey val="0"/>
          <c:showVal val="1"/>
          <c:showCatName val="0"/>
          <c:showSerName val="0"/>
          <c:showPercent val="0"/>
          <c:showBubbleSize val="0"/>
        </c:dLbls>
        <c:gapWidth val="219"/>
        <c:overlap val="-27"/>
        <c:axId val="79891263"/>
        <c:axId val="79909983"/>
      </c:barChart>
      <c:catAx>
        <c:axId val="79891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800" b="1" i="0" u="none" strike="noStrike" kern="1200" baseline="0">
                <a:solidFill>
                  <a:schemeClr val="bg1"/>
                </a:solidFill>
                <a:latin typeface="+mn-lt"/>
                <a:ea typeface="+mn-ea"/>
                <a:cs typeface="+mn-cs"/>
              </a:defRPr>
            </a:pPr>
            <a:endParaRPr lang="en-US"/>
          </a:p>
        </c:txPr>
        <c:crossAx val="79909983"/>
        <c:crosses val="autoZero"/>
        <c:auto val="1"/>
        <c:lblAlgn val="ctr"/>
        <c:lblOffset val="100"/>
        <c:noMultiLvlLbl val="0"/>
      </c:catAx>
      <c:valAx>
        <c:axId val="79909983"/>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Arial Black" panose="020B0A04020102020204" pitchFamily="34" charset="0"/>
                <a:ea typeface="+mn-ea"/>
                <a:cs typeface="Arial" panose="020B0604020202020204" pitchFamily="34" charset="0"/>
              </a:defRPr>
            </a:pPr>
            <a:endParaRPr lang="en-US"/>
          </a:p>
        </c:txPr>
        <c:crossAx val="798912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1181100</xdr:colOff>
      <xdr:row>2</xdr:row>
      <xdr:rowOff>3810</xdr:rowOff>
    </xdr:from>
    <xdr:to>
      <xdr:col>11</xdr:col>
      <xdr:colOff>7620</xdr:colOff>
      <xdr:row>15</xdr:row>
      <xdr:rowOff>129540</xdr:rowOff>
    </xdr:to>
    <xdr:graphicFrame macro="">
      <xdr:nvGraphicFramePr>
        <xdr:cNvPr id="5" name="Chart 4">
          <a:extLst>
            <a:ext uri="{FF2B5EF4-FFF2-40B4-BE49-F238E27FC236}">
              <a16:creationId xmlns:a16="http://schemas.microsoft.com/office/drawing/2014/main" id="{9B53DD7B-0959-8EE9-1D3D-0FBB5A10AF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975360</xdr:colOff>
      <xdr:row>6</xdr:row>
      <xdr:rowOff>80010</xdr:rowOff>
    </xdr:from>
    <xdr:to>
      <xdr:col>10</xdr:col>
      <xdr:colOff>281940</xdr:colOff>
      <xdr:row>21</xdr:row>
      <xdr:rowOff>80010</xdr:rowOff>
    </xdr:to>
    <xdr:graphicFrame macro="">
      <xdr:nvGraphicFramePr>
        <xdr:cNvPr id="2" name="Chart 1">
          <a:extLst>
            <a:ext uri="{FF2B5EF4-FFF2-40B4-BE49-F238E27FC236}">
              <a16:creationId xmlns:a16="http://schemas.microsoft.com/office/drawing/2014/main" id="{1A7191A9-29D8-3A7A-E4A6-A98E740C84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281940</xdr:colOff>
      <xdr:row>6</xdr:row>
      <xdr:rowOff>171450</xdr:rowOff>
    </xdr:from>
    <xdr:to>
      <xdr:col>7</xdr:col>
      <xdr:colOff>91440</xdr:colOff>
      <xdr:row>21</xdr:row>
      <xdr:rowOff>171450</xdr:rowOff>
    </xdr:to>
    <xdr:graphicFrame macro="">
      <xdr:nvGraphicFramePr>
        <xdr:cNvPr id="2" name="Chart 1">
          <a:extLst>
            <a:ext uri="{FF2B5EF4-FFF2-40B4-BE49-F238E27FC236}">
              <a16:creationId xmlns:a16="http://schemas.microsoft.com/office/drawing/2014/main" id="{AA22EF16-5165-0C94-9B42-637221699F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320040</xdr:colOff>
      <xdr:row>1</xdr:row>
      <xdr:rowOff>179070</xdr:rowOff>
    </xdr:from>
    <xdr:to>
      <xdr:col>7</xdr:col>
      <xdr:colOff>220980</xdr:colOff>
      <xdr:row>14</xdr:row>
      <xdr:rowOff>0</xdr:rowOff>
    </xdr:to>
    <xdr:graphicFrame macro="">
      <xdr:nvGraphicFramePr>
        <xdr:cNvPr id="2" name="Chart 1">
          <a:extLst>
            <a:ext uri="{FF2B5EF4-FFF2-40B4-BE49-F238E27FC236}">
              <a16:creationId xmlns:a16="http://schemas.microsoft.com/office/drawing/2014/main" id="{2B5E1510-D347-354E-1D6C-38D5F59B5B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38100</xdr:colOff>
      <xdr:row>1</xdr:row>
      <xdr:rowOff>118110</xdr:rowOff>
    </xdr:from>
    <xdr:to>
      <xdr:col>15</xdr:col>
      <xdr:colOff>236220</xdr:colOff>
      <xdr:row>16</xdr:row>
      <xdr:rowOff>118110</xdr:rowOff>
    </xdr:to>
    <xdr:graphicFrame macro="">
      <xdr:nvGraphicFramePr>
        <xdr:cNvPr id="3" name="Chart 2">
          <a:extLst>
            <a:ext uri="{FF2B5EF4-FFF2-40B4-BE49-F238E27FC236}">
              <a16:creationId xmlns:a16="http://schemas.microsoft.com/office/drawing/2014/main" id="{FBE40717-3F42-91A4-1D2D-2F58441B37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472440</xdr:colOff>
      <xdr:row>9</xdr:row>
      <xdr:rowOff>49530</xdr:rowOff>
    </xdr:from>
    <xdr:to>
      <xdr:col>13</xdr:col>
      <xdr:colOff>586740</xdr:colOff>
      <xdr:row>24</xdr:row>
      <xdr:rowOff>49530</xdr:rowOff>
    </xdr:to>
    <xdr:graphicFrame macro="">
      <xdr:nvGraphicFramePr>
        <xdr:cNvPr id="4" name="Chart 3">
          <a:extLst>
            <a:ext uri="{FF2B5EF4-FFF2-40B4-BE49-F238E27FC236}">
              <a16:creationId xmlns:a16="http://schemas.microsoft.com/office/drawing/2014/main" id="{2BE9A2B2-C657-9790-8C50-47F7259D91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472440</xdr:colOff>
      <xdr:row>0</xdr:row>
      <xdr:rowOff>0</xdr:rowOff>
    </xdr:from>
    <xdr:to>
      <xdr:col>15</xdr:col>
      <xdr:colOff>327660</xdr:colOff>
      <xdr:row>15</xdr:row>
      <xdr:rowOff>0</xdr:rowOff>
    </xdr:to>
    <xdr:graphicFrame macro="">
      <xdr:nvGraphicFramePr>
        <xdr:cNvPr id="2" name="Chart 1">
          <a:extLst>
            <a:ext uri="{FF2B5EF4-FFF2-40B4-BE49-F238E27FC236}">
              <a16:creationId xmlns:a16="http://schemas.microsoft.com/office/drawing/2014/main" id="{FE41F8BD-FACD-23FC-3B5B-54BB5F7FD7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145142</xdr:colOff>
      <xdr:row>12</xdr:row>
      <xdr:rowOff>29226</xdr:rowOff>
    </xdr:from>
    <xdr:to>
      <xdr:col>6</xdr:col>
      <xdr:colOff>1120502</xdr:colOff>
      <xdr:row>38</xdr:row>
      <xdr:rowOff>147851</xdr:rowOff>
    </xdr:to>
    <xdr:sp macro="" textlink="">
      <xdr:nvSpPr>
        <xdr:cNvPr id="2" name="Rectangle: Rounded Corners 1">
          <a:extLst>
            <a:ext uri="{FF2B5EF4-FFF2-40B4-BE49-F238E27FC236}">
              <a16:creationId xmlns:a16="http://schemas.microsoft.com/office/drawing/2014/main" id="{9975B413-DE66-4833-858A-CDD72938FE00}"/>
            </a:ext>
          </a:extLst>
        </xdr:cNvPr>
        <xdr:cNvSpPr/>
      </xdr:nvSpPr>
      <xdr:spPr>
        <a:xfrm flipH="1">
          <a:off x="10078276831" y="2315226"/>
          <a:ext cx="10458027" cy="5071625"/>
        </a:xfrm>
        <a:prstGeom prst="roundRect">
          <a:avLst>
            <a:gd name="adj" fmla="val 4651"/>
          </a:avLst>
        </a:prstGeom>
        <a:solidFill>
          <a:srgbClr val="303B4A"/>
        </a:solidFill>
        <a:effectLst>
          <a:outerShdw blurRad="50800" dist="25400" dir="1800000" sx="101000" sy="101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 </a:t>
          </a:r>
        </a:p>
      </xdr:txBody>
    </xdr:sp>
    <xdr:clientData/>
  </xdr:twoCellAnchor>
  <xdr:twoCellAnchor>
    <xdr:from>
      <xdr:col>0</xdr:col>
      <xdr:colOff>145142</xdr:colOff>
      <xdr:row>40</xdr:row>
      <xdr:rowOff>0</xdr:rowOff>
    </xdr:from>
    <xdr:to>
      <xdr:col>6</xdr:col>
      <xdr:colOff>1120502</xdr:colOff>
      <xdr:row>67</xdr:row>
      <xdr:rowOff>24713</xdr:rowOff>
    </xdr:to>
    <xdr:sp macro="" textlink="">
      <xdr:nvSpPr>
        <xdr:cNvPr id="3" name="Rectangle: Rounded Corners 2">
          <a:extLst>
            <a:ext uri="{FF2B5EF4-FFF2-40B4-BE49-F238E27FC236}">
              <a16:creationId xmlns:a16="http://schemas.microsoft.com/office/drawing/2014/main" id="{A91369CC-529F-4308-B244-69BA82FA4D46}"/>
            </a:ext>
          </a:extLst>
        </xdr:cNvPr>
        <xdr:cNvSpPr/>
      </xdr:nvSpPr>
      <xdr:spPr>
        <a:xfrm flipH="1">
          <a:off x="9945734421" y="7033846"/>
          <a:ext cx="8595360" cy="4772559"/>
        </a:xfrm>
        <a:prstGeom prst="roundRect">
          <a:avLst>
            <a:gd name="adj" fmla="val 4651"/>
          </a:avLst>
        </a:prstGeom>
        <a:solidFill>
          <a:srgbClr val="303B4A"/>
        </a:solidFill>
        <a:effectLst>
          <a:outerShdw blurRad="50800" dist="25400" dir="1800000" sx="101000" sy="101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 </a:t>
          </a:r>
        </a:p>
      </xdr:txBody>
    </xdr:sp>
    <xdr:clientData/>
  </xdr:twoCellAnchor>
  <xdr:twoCellAnchor>
    <xdr:from>
      <xdr:col>17</xdr:col>
      <xdr:colOff>61835</xdr:colOff>
      <xdr:row>1</xdr:row>
      <xdr:rowOff>5993</xdr:rowOff>
    </xdr:from>
    <xdr:to>
      <xdr:col>19</xdr:col>
      <xdr:colOff>910168</xdr:colOff>
      <xdr:row>10</xdr:row>
      <xdr:rowOff>19493</xdr:rowOff>
    </xdr:to>
    <xdr:sp macro="" textlink="">
      <xdr:nvSpPr>
        <xdr:cNvPr id="5" name="Rectangle: Rounded Corners 4">
          <a:extLst>
            <a:ext uri="{FF2B5EF4-FFF2-40B4-BE49-F238E27FC236}">
              <a16:creationId xmlns:a16="http://schemas.microsoft.com/office/drawing/2014/main" id="{0DE098B7-F51E-46FE-BFA3-352719F6920A}"/>
            </a:ext>
          </a:extLst>
        </xdr:cNvPr>
        <xdr:cNvSpPr/>
      </xdr:nvSpPr>
      <xdr:spPr>
        <a:xfrm flipH="1">
          <a:off x="10058675165" y="196493"/>
          <a:ext cx="3600000" cy="1728000"/>
        </a:xfrm>
        <a:prstGeom prst="roundRect">
          <a:avLst>
            <a:gd name="adj" fmla="val 11617"/>
          </a:avLst>
        </a:prstGeom>
        <a:solidFill>
          <a:srgbClr val="303B4A"/>
        </a:solidFill>
        <a:effectLst>
          <a:outerShdw blurRad="50800" dist="50800" dir="1800000" sx="101000" sy="101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 </a:t>
          </a:r>
        </a:p>
      </xdr:txBody>
    </xdr:sp>
    <xdr:clientData/>
  </xdr:twoCellAnchor>
  <xdr:twoCellAnchor>
    <xdr:from>
      <xdr:col>15</xdr:col>
      <xdr:colOff>213693</xdr:colOff>
      <xdr:row>40</xdr:row>
      <xdr:rowOff>0</xdr:rowOff>
    </xdr:from>
    <xdr:to>
      <xdr:col>19</xdr:col>
      <xdr:colOff>978164</xdr:colOff>
      <xdr:row>67</xdr:row>
      <xdr:rowOff>24713</xdr:rowOff>
    </xdr:to>
    <xdr:sp macro="" textlink="">
      <xdr:nvSpPr>
        <xdr:cNvPr id="8" name="Rectangle: Rounded Corners 7">
          <a:extLst>
            <a:ext uri="{FF2B5EF4-FFF2-40B4-BE49-F238E27FC236}">
              <a16:creationId xmlns:a16="http://schemas.microsoft.com/office/drawing/2014/main" id="{599401ED-FC72-4772-A9FB-B5FC2154E458}"/>
            </a:ext>
          </a:extLst>
        </xdr:cNvPr>
        <xdr:cNvSpPr/>
      </xdr:nvSpPr>
      <xdr:spPr>
        <a:xfrm flipH="1">
          <a:off x="9926064759" y="7033846"/>
          <a:ext cx="6860471" cy="4772559"/>
        </a:xfrm>
        <a:prstGeom prst="roundRect">
          <a:avLst>
            <a:gd name="adj" fmla="val 6562"/>
          </a:avLst>
        </a:prstGeom>
        <a:solidFill>
          <a:srgbClr val="303B4A"/>
        </a:solidFill>
        <a:effectLst>
          <a:outerShdw blurRad="50800" dist="50800" dir="1800000" sx="101000" sy="101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 </a:t>
          </a:r>
        </a:p>
      </xdr:txBody>
    </xdr:sp>
    <xdr:clientData/>
  </xdr:twoCellAnchor>
  <xdr:twoCellAnchor>
    <xdr:from>
      <xdr:col>6</xdr:col>
      <xdr:colOff>1426309</xdr:colOff>
      <xdr:row>40</xdr:row>
      <xdr:rowOff>0</xdr:rowOff>
    </xdr:from>
    <xdr:to>
      <xdr:col>14</xdr:col>
      <xdr:colOff>808689</xdr:colOff>
      <xdr:row>67</xdr:row>
      <xdr:rowOff>24713</xdr:rowOff>
    </xdr:to>
    <xdr:sp macro="" textlink="">
      <xdr:nvSpPr>
        <xdr:cNvPr id="9" name="Rectangle: Rounded Corners 8">
          <a:extLst>
            <a:ext uri="{FF2B5EF4-FFF2-40B4-BE49-F238E27FC236}">
              <a16:creationId xmlns:a16="http://schemas.microsoft.com/office/drawing/2014/main" id="{AC2178B3-9A2A-45C0-80D9-5E47DA886454}"/>
            </a:ext>
          </a:extLst>
        </xdr:cNvPr>
        <xdr:cNvSpPr/>
      </xdr:nvSpPr>
      <xdr:spPr>
        <a:xfrm flipH="1">
          <a:off x="9933229003" y="7033846"/>
          <a:ext cx="12199611" cy="4772559"/>
        </a:xfrm>
        <a:prstGeom prst="roundRect">
          <a:avLst>
            <a:gd name="adj" fmla="val 6154"/>
          </a:avLst>
        </a:prstGeom>
        <a:solidFill>
          <a:srgbClr val="303B4A"/>
        </a:solidFill>
        <a:effectLst>
          <a:outerShdw blurRad="50800" dist="50800" dir="1800000" sx="101000" sy="101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 </a:t>
          </a:r>
        </a:p>
      </xdr:txBody>
    </xdr:sp>
    <xdr:clientData/>
  </xdr:twoCellAnchor>
  <xdr:twoCellAnchor>
    <xdr:from>
      <xdr:col>15</xdr:col>
      <xdr:colOff>213693</xdr:colOff>
      <xdr:row>12</xdr:row>
      <xdr:rowOff>29225</xdr:rowOff>
    </xdr:from>
    <xdr:to>
      <xdr:col>19</xdr:col>
      <xdr:colOff>978164</xdr:colOff>
      <xdr:row>38</xdr:row>
      <xdr:rowOff>147850</xdr:rowOff>
    </xdr:to>
    <xdr:sp macro="" textlink="">
      <xdr:nvSpPr>
        <xdr:cNvPr id="10" name="Rectangle: Rounded Corners 9">
          <a:extLst>
            <a:ext uri="{FF2B5EF4-FFF2-40B4-BE49-F238E27FC236}">
              <a16:creationId xmlns:a16="http://schemas.microsoft.com/office/drawing/2014/main" id="{44EB8995-B0F8-46AB-8A5F-34E35446FA69}"/>
            </a:ext>
          </a:extLst>
        </xdr:cNvPr>
        <xdr:cNvSpPr/>
      </xdr:nvSpPr>
      <xdr:spPr>
        <a:xfrm flipH="1">
          <a:off x="10058607169" y="2315225"/>
          <a:ext cx="6860471" cy="5071625"/>
        </a:xfrm>
        <a:prstGeom prst="roundRect">
          <a:avLst>
            <a:gd name="adj" fmla="val 6370"/>
          </a:avLst>
        </a:prstGeom>
        <a:solidFill>
          <a:srgbClr val="303B4A"/>
        </a:solidFill>
        <a:effectLst>
          <a:outerShdw blurRad="50800" dist="50800" dir="1800000" sx="101000" sy="101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 </a:t>
          </a:r>
        </a:p>
      </xdr:txBody>
    </xdr:sp>
    <xdr:clientData/>
  </xdr:twoCellAnchor>
  <xdr:twoCellAnchor>
    <xdr:from>
      <xdr:col>6</xdr:col>
      <xdr:colOff>1567150</xdr:colOff>
      <xdr:row>41</xdr:row>
      <xdr:rowOff>66901</xdr:rowOff>
    </xdr:from>
    <xdr:to>
      <xdr:col>14</xdr:col>
      <xdr:colOff>782596</xdr:colOff>
      <xdr:row>65</xdr:row>
      <xdr:rowOff>61784</xdr:rowOff>
    </xdr:to>
    <xdr:graphicFrame macro="">
      <xdr:nvGraphicFramePr>
        <xdr:cNvPr id="11" name="Chart 10">
          <a:extLst>
            <a:ext uri="{FF2B5EF4-FFF2-40B4-BE49-F238E27FC236}">
              <a16:creationId xmlns:a16="http://schemas.microsoft.com/office/drawing/2014/main" id="{8FB8949E-EB60-4EE5-855D-1BB9D4B6BF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447198</xdr:colOff>
      <xdr:row>12</xdr:row>
      <xdr:rowOff>135909</xdr:rowOff>
    </xdr:from>
    <xdr:to>
      <xdr:col>19</xdr:col>
      <xdr:colOff>782594</xdr:colOff>
      <xdr:row>37</xdr:row>
      <xdr:rowOff>41188</xdr:rowOff>
    </xdr:to>
    <xdr:graphicFrame macro="">
      <xdr:nvGraphicFramePr>
        <xdr:cNvPr id="12" name="Chart 11">
          <a:extLst>
            <a:ext uri="{FF2B5EF4-FFF2-40B4-BE49-F238E27FC236}">
              <a16:creationId xmlns:a16="http://schemas.microsoft.com/office/drawing/2014/main" id="{EAB418E8-BF6F-4FED-A984-4EF02CFB2C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306261</xdr:colOff>
      <xdr:row>40</xdr:row>
      <xdr:rowOff>93166</xdr:rowOff>
    </xdr:from>
    <xdr:to>
      <xdr:col>19</xdr:col>
      <xdr:colOff>720812</xdr:colOff>
      <xdr:row>65</xdr:row>
      <xdr:rowOff>164756</xdr:rowOff>
    </xdr:to>
    <xdr:graphicFrame macro="">
      <xdr:nvGraphicFramePr>
        <xdr:cNvPr id="13" name="Chart 12">
          <a:extLst>
            <a:ext uri="{FF2B5EF4-FFF2-40B4-BE49-F238E27FC236}">
              <a16:creationId xmlns:a16="http://schemas.microsoft.com/office/drawing/2014/main" id="{EC2BDC88-2C2A-481B-B201-A5DB1ED28F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308428</xdr:colOff>
      <xdr:row>40</xdr:row>
      <xdr:rowOff>12903</xdr:rowOff>
    </xdr:from>
    <xdr:to>
      <xdr:col>6</xdr:col>
      <xdr:colOff>1030941</xdr:colOff>
      <xdr:row>65</xdr:row>
      <xdr:rowOff>123566</xdr:rowOff>
    </xdr:to>
    <xdr:graphicFrame macro="">
      <xdr:nvGraphicFramePr>
        <xdr:cNvPr id="14" name="Chart 13">
          <a:extLst>
            <a:ext uri="{FF2B5EF4-FFF2-40B4-BE49-F238E27FC236}">
              <a16:creationId xmlns:a16="http://schemas.microsoft.com/office/drawing/2014/main" id="{6A478032-03F3-488F-A6E4-6E90852D2D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362856</xdr:colOff>
      <xdr:row>12</xdr:row>
      <xdr:rowOff>13855</xdr:rowOff>
    </xdr:from>
    <xdr:to>
      <xdr:col>6</xdr:col>
      <xdr:colOff>1008530</xdr:colOff>
      <xdr:row>38</xdr:row>
      <xdr:rowOff>41190</xdr:rowOff>
    </xdr:to>
    <xdr:graphicFrame macro="">
      <xdr:nvGraphicFramePr>
        <xdr:cNvPr id="15" name="Chart 14">
          <a:extLst>
            <a:ext uri="{FF2B5EF4-FFF2-40B4-BE49-F238E27FC236}">
              <a16:creationId xmlns:a16="http://schemas.microsoft.com/office/drawing/2014/main" id="{0A6B8393-08B5-4BE7-AD88-C7C058962A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12</xdr:col>
      <xdr:colOff>207514</xdr:colOff>
      <xdr:row>4</xdr:row>
      <xdr:rowOff>22668</xdr:rowOff>
    </xdr:from>
    <xdr:ext cx="2839158" cy="648510"/>
    <xdr:sp macro="" textlink="'مؤشرات اساسية'!K3">
      <xdr:nvSpPr>
        <xdr:cNvPr id="19" name="TextBox 18">
          <a:extLst>
            <a:ext uri="{FF2B5EF4-FFF2-40B4-BE49-F238E27FC236}">
              <a16:creationId xmlns:a16="http://schemas.microsoft.com/office/drawing/2014/main" id="{2739236D-7C2B-47C8-8F8B-A911AF4B8E20}"/>
            </a:ext>
          </a:extLst>
        </xdr:cNvPr>
        <xdr:cNvSpPr txBox="1"/>
      </xdr:nvSpPr>
      <xdr:spPr>
        <a:xfrm flipH="1">
          <a:off x="10066381161" y="784668"/>
          <a:ext cx="2839158" cy="6485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DF7B4F57-82F7-4222-9E5F-B0C83486C1CC}" type="TxLink">
            <a:rPr lang="en-US" sz="3200" b="1" i="0" u="none" strike="noStrike">
              <a:solidFill>
                <a:schemeClr val="bg1"/>
              </a:solidFill>
              <a:latin typeface="Calibri"/>
              <a:ea typeface="Lato Black" panose="020F0502020204030203" pitchFamily="34" charset="0"/>
              <a:cs typeface="Calibri"/>
            </a:rPr>
            <a:pPr marL="0" indent="0" algn="ctr"/>
            <a:t> </a:t>
          </a:fld>
          <a:endParaRPr lang="en-US" sz="3200" b="1" i="0" u="none" strike="noStrike">
            <a:solidFill>
              <a:schemeClr val="bg1"/>
            </a:solidFill>
            <a:latin typeface="Calibri"/>
            <a:ea typeface="Lato Black" panose="020F0502020204030203" pitchFamily="34" charset="0"/>
            <a:cs typeface="Calibri"/>
          </a:endParaRPr>
        </a:p>
      </xdr:txBody>
    </xdr:sp>
    <xdr:clientData/>
  </xdr:oneCellAnchor>
  <xdr:oneCellAnchor>
    <xdr:from>
      <xdr:col>17</xdr:col>
      <xdr:colOff>137547</xdr:colOff>
      <xdr:row>0</xdr:row>
      <xdr:rowOff>154160</xdr:rowOff>
    </xdr:from>
    <xdr:ext cx="1861297" cy="731520"/>
    <xdr:sp macro="" textlink="">
      <xdr:nvSpPr>
        <xdr:cNvPr id="22" name="TextBox 21">
          <a:extLst>
            <a:ext uri="{FF2B5EF4-FFF2-40B4-BE49-F238E27FC236}">
              <a16:creationId xmlns:a16="http://schemas.microsoft.com/office/drawing/2014/main" id="{7AED00AF-1F69-4FC9-AFF0-C613E77E35AD}"/>
            </a:ext>
          </a:extLst>
        </xdr:cNvPr>
        <xdr:cNvSpPr txBox="1"/>
      </xdr:nvSpPr>
      <xdr:spPr>
        <a:xfrm flipH="1">
          <a:off x="10060338156" y="154160"/>
          <a:ext cx="1861297" cy="7315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ar-EG" sz="3600" b="1" baseline="0">
              <a:solidFill>
                <a:schemeClr val="accent5">
                  <a:lumMod val="20000"/>
                  <a:lumOff val="80000"/>
                </a:schemeClr>
              </a:solidFill>
              <a:latin typeface="Sakkal Majalla" panose="02000000000000000000" pitchFamily="2" charset="-78"/>
              <a:ea typeface="Lato Black" panose="020F0502020204030203" pitchFamily="34" charset="0"/>
              <a:cs typeface="Sakkal Majalla" panose="02000000000000000000" pitchFamily="2" charset="-78"/>
            </a:rPr>
            <a:t>الربحية</a:t>
          </a:r>
        </a:p>
        <a:p>
          <a:pPr algn="ctr"/>
          <a:endParaRPr lang="en-US" sz="4400" b="1">
            <a:solidFill>
              <a:schemeClr val="accent5">
                <a:lumMod val="20000"/>
                <a:lumOff val="8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oneCellAnchor>
  <xdr:oneCellAnchor>
    <xdr:from>
      <xdr:col>17</xdr:col>
      <xdr:colOff>42333</xdr:colOff>
      <xdr:row>5</xdr:row>
      <xdr:rowOff>86702</xdr:rowOff>
    </xdr:from>
    <xdr:ext cx="2043228" cy="593304"/>
    <xdr:sp macro="" textlink="'مؤشرات اساسية'!I8">
      <xdr:nvSpPr>
        <xdr:cNvPr id="23" name="TextBox 22">
          <a:extLst>
            <a:ext uri="{FF2B5EF4-FFF2-40B4-BE49-F238E27FC236}">
              <a16:creationId xmlns:a16="http://schemas.microsoft.com/office/drawing/2014/main" id="{D475D447-8041-4249-91B0-EA59D72EC49B}"/>
            </a:ext>
          </a:extLst>
        </xdr:cNvPr>
        <xdr:cNvSpPr txBox="1"/>
      </xdr:nvSpPr>
      <xdr:spPr>
        <a:xfrm flipH="1">
          <a:off x="10055848772" y="1039202"/>
          <a:ext cx="2043228"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B6BC28F7-7D31-4666-B839-47FE9E58CFB8}" type="TxLink">
            <a:rPr lang="en-US" sz="3200" b="1" i="0" u="none" strike="noStrike">
              <a:solidFill>
                <a:schemeClr val="bg1"/>
              </a:solidFill>
              <a:latin typeface="Calibri"/>
              <a:ea typeface="Lato Black" panose="020F0502020204030203" pitchFamily="34" charset="0"/>
              <a:cs typeface="Calibri"/>
            </a:rPr>
            <a:pPr marL="0" indent="0" algn="ctr"/>
            <a:t>20801040</a:t>
          </a:fld>
          <a:endParaRPr lang="en-US" sz="3200" b="1" i="0" u="none" strike="noStrike">
            <a:solidFill>
              <a:schemeClr val="bg1"/>
            </a:solidFill>
            <a:latin typeface="Calibri"/>
            <a:ea typeface="Lato Black" panose="020F0502020204030203" pitchFamily="34" charset="0"/>
            <a:cs typeface="Calibri"/>
          </a:endParaRPr>
        </a:p>
      </xdr:txBody>
    </xdr:sp>
    <xdr:clientData/>
  </xdr:oneCellAnchor>
  <xdr:twoCellAnchor>
    <xdr:from>
      <xdr:col>0</xdr:col>
      <xdr:colOff>145142</xdr:colOff>
      <xdr:row>1</xdr:row>
      <xdr:rowOff>5993</xdr:rowOff>
    </xdr:from>
    <xdr:to>
      <xdr:col>2</xdr:col>
      <xdr:colOff>739475</xdr:colOff>
      <xdr:row>10</xdr:row>
      <xdr:rowOff>19493</xdr:rowOff>
    </xdr:to>
    <xdr:sp macro="" textlink="">
      <xdr:nvSpPr>
        <xdr:cNvPr id="30" name="Rectangle: Rounded Corners 29">
          <a:extLst>
            <a:ext uri="{FF2B5EF4-FFF2-40B4-BE49-F238E27FC236}">
              <a16:creationId xmlns:a16="http://schemas.microsoft.com/office/drawing/2014/main" id="{DA893576-E866-442A-BE93-7A31763E41F2}"/>
            </a:ext>
          </a:extLst>
        </xdr:cNvPr>
        <xdr:cNvSpPr/>
      </xdr:nvSpPr>
      <xdr:spPr>
        <a:xfrm flipH="1">
          <a:off x="10080732191" y="196493"/>
          <a:ext cx="3600000" cy="1728000"/>
        </a:xfrm>
        <a:prstGeom prst="roundRect">
          <a:avLst>
            <a:gd name="adj" fmla="val 11617"/>
          </a:avLst>
        </a:prstGeom>
        <a:solidFill>
          <a:srgbClr val="303B4A"/>
        </a:solidFill>
        <a:effectLst>
          <a:outerShdw blurRad="50800" dist="50800" dir="1800000" sx="101000" sy="101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 </a:t>
          </a:r>
        </a:p>
      </xdr:txBody>
    </xdr:sp>
    <xdr:clientData/>
  </xdr:twoCellAnchor>
  <xdr:twoCellAnchor>
    <xdr:from>
      <xdr:col>18</xdr:col>
      <xdr:colOff>1058333</xdr:colOff>
      <xdr:row>1</xdr:row>
      <xdr:rowOff>84667</xdr:rowOff>
    </xdr:from>
    <xdr:to>
      <xdr:col>19</xdr:col>
      <xdr:colOff>952386</xdr:colOff>
      <xdr:row>9</xdr:row>
      <xdr:rowOff>127444</xdr:rowOff>
    </xdr:to>
    <xdr:graphicFrame macro="">
      <xdr:nvGraphicFramePr>
        <xdr:cNvPr id="26" name="Chart 25">
          <a:extLst>
            <a:ext uri="{FF2B5EF4-FFF2-40B4-BE49-F238E27FC236}">
              <a16:creationId xmlns:a16="http://schemas.microsoft.com/office/drawing/2014/main" id="{FB578747-4257-4D8C-B16A-20BFEA2953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1237821</xdr:colOff>
      <xdr:row>4</xdr:row>
      <xdr:rowOff>93839</xdr:rowOff>
    </xdr:from>
    <xdr:to>
      <xdr:col>19</xdr:col>
      <xdr:colOff>772899</xdr:colOff>
      <xdr:row>6</xdr:row>
      <xdr:rowOff>118271</xdr:rowOff>
    </xdr:to>
    <xdr:sp macro="" textlink="'مؤشرات اساسية'!M6">
      <xdr:nvSpPr>
        <xdr:cNvPr id="27" name="TextBox 51">
          <a:extLst>
            <a:ext uri="{FF2B5EF4-FFF2-40B4-BE49-F238E27FC236}">
              <a16:creationId xmlns:a16="http://schemas.microsoft.com/office/drawing/2014/main" id="{746077C1-444D-838E-ED9A-9D24300B7AF4}"/>
            </a:ext>
          </a:extLst>
        </xdr:cNvPr>
        <xdr:cNvSpPr txBox="1"/>
      </xdr:nvSpPr>
      <xdr:spPr>
        <a:xfrm flipH="1">
          <a:off x="10054409767" y="855839"/>
          <a:ext cx="995578"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ctr"/>
          <a:fld id="{8AA2A6D1-7F67-4C26-9AFA-44A961CF09AC}" type="TxLink">
            <a:rPr lang="en-US" sz="2000" b="1" i="0" u="none" strike="noStrike">
              <a:solidFill>
                <a:schemeClr val="bg1"/>
              </a:solidFill>
              <a:latin typeface="Calibri"/>
              <a:ea typeface="Lato Black" panose="020F0502020204030203" pitchFamily="34" charset="0"/>
              <a:cs typeface="Calibri"/>
            </a:rPr>
            <a:pPr marL="0" indent="0" algn="ctr"/>
            <a:t>361.6%</a:t>
          </a:fld>
          <a:endParaRPr lang="en-US" sz="2000" b="1" i="0" u="none" strike="noStrike">
            <a:solidFill>
              <a:schemeClr val="bg1"/>
            </a:solidFill>
            <a:latin typeface="Calibri"/>
            <a:ea typeface="Lato Black" panose="020F0502020204030203" pitchFamily="34" charset="0"/>
            <a:cs typeface="Calibri"/>
          </a:endParaRPr>
        </a:p>
      </xdr:txBody>
    </xdr:sp>
    <xdr:clientData/>
  </xdr:twoCellAnchor>
  <xdr:oneCellAnchor>
    <xdr:from>
      <xdr:col>0</xdr:col>
      <xdr:colOff>229885</xdr:colOff>
      <xdr:row>0</xdr:row>
      <xdr:rowOff>154160</xdr:rowOff>
    </xdr:from>
    <xdr:ext cx="3430514" cy="736997"/>
    <xdr:sp macro="" textlink="">
      <xdr:nvSpPr>
        <xdr:cNvPr id="31" name="TextBox 30">
          <a:extLst>
            <a:ext uri="{FF2B5EF4-FFF2-40B4-BE49-F238E27FC236}">
              <a16:creationId xmlns:a16="http://schemas.microsoft.com/office/drawing/2014/main" id="{7E59E2F0-A162-4124-B47E-9C80815B7175}"/>
            </a:ext>
          </a:extLst>
        </xdr:cNvPr>
        <xdr:cNvSpPr txBox="1"/>
      </xdr:nvSpPr>
      <xdr:spPr>
        <a:xfrm flipH="1">
          <a:off x="10080816934" y="154160"/>
          <a:ext cx="3430514" cy="7369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ar-EG" sz="3600" b="1" baseline="0">
              <a:solidFill>
                <a:schemeClr val="accent5">
                  <a:lumMod val="20000"/>
                  <a:lumOff val="80000"/>
                </a:schemeClr>
              </a:solidFill>
              <a:latin typeface="Sakkal Majalla" panose="02000000000000000000" pitchFamily="2" charset="-78"/>
              <a:ea typeface="Lato Black" panose="020F0502020204030203" pitchFamily="34" charset="0"/>
              <a:cs typeface="Sakkal Majalla" panose="02000000000000000000" pitchFamily="2" charset="-78"/>
            </a:rPr>
            <a:t>عدد الجهات </a:t>
          </a:r>
          <a:r>
            <a:rPr lang="ar-EG" sz="3600" b="1">
              <a:solidFill>
                <a:schemeClr val="accent5">
                  <a:lumMod val="20000"/>
                  <a:lumOff val="80000"/>
                </a:schemeClr>
              </a:solidFill>
              <a:latin typeface="Sakkal Majalla" panose="02000000000000000000" pitchFamily="2" charset="-78"/>
              <a:ea typeface="Lato Black" panose="020F0502020204030203" pitchFamily="34" charset="0"/>
              <a:cs typeface="Sakkal Majalla" panose="02000000000000000000" pitchFamily="2" charset="-78"/>
            </a:rPr>
            <a:t>الحكومية</a:t>
          </a:r>
          <a:endParaRPr lang="en-US" sz="3600" b="1">
            <a:solidFill>
              <a:schemeClr val="accent5">
                <a:lumMod val="20000"/>
                <a:lumOff val="80000"/>
              </a:schemeClr>
            </a:solidFill>
            <a:latin typeface="Sakkal Majalla" panose="02000000000000000000" pitchFamily="2" charset="-78"/>
            <a:ea typeface="Lato Black" panose="020F0502020204030203" pitchFamily="34" charset="0"/>
            <a:cs typeface="Sakkal Majalla" panose="02000000000000000000" pitchFamily="2" charset="-78"/>
          </a:endParaRPr>
        </a:p>
      </xdr:txBody>
    </xdr:sp>
    <xdr:clientData/>
  </xdr:oneCellAnchor>
  <xdr:oneCellAnchor>
    <xdr:from>
      <xdr:col>0</xdr:col>
      <xdr:colOff>623659</xdr:colOff>
      <xdr:row>5</xdr:row>
      <xdr:rowOff>57199</xdr:rowOff>
    </xdr:from>
    <xdr:ext cx="2688170" cy="592646"/>
    <xdr:sp macro="" textlink="'المناطق والجهات'!$F$18">
      <xdr:nvSpPr>
        <xdr:cNvPr id="32" name="TextBox 31">
          <a:extLst>
            <a:ext uri="{FF2B5EF4-FFF2-40B4-BE49-F238E27FC236}">
              <a16:creationId xmlns:a16="http://schemas.microsoft.com/office/drawing/2014/main" id="{B3AC1CD2-A9ED-4A1B-8ECB-9A24F3694577}"/>
            </a:ext>
          </a:extLst>
        </xdr:cNvPr>
        <xdr:cNvSpPr txBox="1"/>
      </xdr:nvSpPr>
      <xdr:spPr>
        <a:xfrm flipH="1">
          <a:off x="10085568171" y="1009699"/>
          <a:ext cx="2688170" cy="5926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CB38B467-E6D0-4580-B66E-918269AB3985}" type="TxLink">
            <a:rPr lang="en-US" sz="3200" b="1" i="0" u="none" strike="noStrike">
              <a:solidFill>
                <a:schemeClr val="bg1"/>
              </a:solidFill>
              <a:latin typeface="Calibri"/>
              <a:ea typeface="Lato Black" panose="020F0502020204030203" pitchFamily="34" charset="0"/>
              <a:cs typeface="Calibri"/>
            </a:rPr>
            <a:pPr marL="0" indent="0" algn="ctr"/>
            <a:t>3</a:t>
          </a:fld>
          <a:endParaRPr lang="en-US" sz="3200" b="1" i="0" u="none" strike="noStrike">
            <a:solidFill>
              <a:schemeClr val="bg1"/>
            </a:solidFill>
            <a:latin typeface="Calibri"/>
            <a:ea typeface="Lato Black" panose="020F0502020204030203" pitchFamily="34" charset="0"/>
            <a:cs typeface="Calibri"/>
          </a:endParaRPr>
        </a:p>
      </xdr:txBody>
    </xdr:sp>
    <xdr:clientData/>
  </xdr:oneCellAnchor>
  <xdr:twoCellAnchor editAs="oneCell">
    <xdr:from>
      <xdr:col>19</xdr:col>
      <xdr:colOff>1281724</xdr:colOff>
      <xdr:row>2</xdr:row>
      <xdr:rowOff>6951</xdr:rowOff>
    </xdr:from>
    <xdr:to>
      <xdr:col>21</xdr:col>
      <xdr:colOff>1377463</xdr:colOff>
      <xdr:row>29</xdr:row>
      <xdr:rowOff>78154</xdr:rowOff>
    </xdr:to>
    <mc:AlternateContent xmlns:mc="http://schemas.openxmlformats.org/markup-compatibility/2006" xmlns:a14="http://schemas.microsoft.com/office/drawing/2010/main">
      <mc:Choice Requires="a14">
        <xdr:graphicFrame macro="">
          <xdr:nvGraphicFramePr>
            <xdr:cNvPr id="33" name="اسم المشروع">
              <a:extLst>
                <a:ext uri="{FF2B5EF4-FFF2-40B4-BE49-F238E27FC236}">
                  <a16:creationId xmlns:a16="http://schemas.microsoft.com/office/drawing/2014/main" id="{F27C7DC7-02D8-DCF6-D528-0EF3B201C919}"/>
                </a:ext>
              </a:extLst>
            </xdr:cNvPr>
            <xdr:cNvGraphicFramePr/>
          </xdr:nvGraphicFramePr>
          <xdr:xfrm>
            <a:off x="0" y="0"/>
            <a:ext cx="0" cy="0"/>
          </xdr:xfrm>
          <a:graphic>
            <a:graphicData uri="http://schemas.microsoft.com/office/drawing/2010/slicer">
              <sle:slicer xmlns:sle="http://schemas.microsoft.com/office/drawing/2010/slicer" name="اسم المشروع"/>
            </a:graphicData>
          </a:graphic>
        </xdr:graphicFrame>
      </mc:Choice>
      <mc:Fallback xmlns="">
        <xdr:sp macro="" textlink="">
          <xdr:nvSpPr>
            <xdr:cNvPr id="0" name=""/>
            <xdr:cNvSpPr>
              <a:spLocks noTextEdit="1"/>
            </xdr:cNvSpPr>
          </xdr:nvSpPr>
          <xdr:spPr>
            <a:xfrm>
              <a:off x="10048958037" y="387951"/>
              <a:ext cx="4942905" cy="52147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1504463</xdr:colOff>
      <xdr:row>12</xdr:row>
      <xdr:rowOff>29226</xdr:rowOff>
    </xdr:from>
    <xdr:to>
      <xdr:col>14</xdr:col>
      <xdr:colOff>808689</xdr:colOff>
      <xdr:row>38</xdr:row>
      <xdr:rowOff>147851</xdr:rowOff>
    </xdr:to>
    <xdr:sp macro="" textlink="">
      <xdr:nvSpPr>
        <xdr:cNvPr id="7" name="Rectangle: Rounded Corners 6">
          <a:extLst>
            <a:ext uri="{FF2B5EF4-FFF2-40B4-BE49-F238E27FC236}">
              <a16:creationId xmlns:a16="http://schemas.microsoft.com/office/drawing/2014/main" id="{DE5FF5B5-AFB3-42CC-98AC-D89455059DA9}"/>
            </a:ext>
          </a:extLst>
        </xdr:cNvPr>
        <xdr:cNvSpPr/>
      </xdr:nvSpPr>
      <xdr:spPr>
        <a:xfrm flipH="1">
          <a:off x="9933229003" y="2139380"/>
          <a:ext cx="12121457" cy="4690625"/>
        </a:xfrm>
        <a:prstGeom prst="roundRect">
          <a:avLst>
            <a:gd name="adj" fmla="val 6910"/>
          </a:avLst>
        </a:prstGeom>
        <a:solidFill>
          <a:srgbClr val="303B4A"/>
        </a:solidFill>
        <a:effectLst>
          <a:outerShdw blurRad="50800" dist="50800" dir="1800000" sx="101000" sy="101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 </a:t>
          </a:r>
        </a:p>
      </xdr:txBody>
    </xdr:sp>
    <xdr:clientData/>
  </xdr:twoCellAnchor>
  <xdr:twoCellAnchor>
    <xdr:from>
      <xdr:col>6</xdr:col>
      <xdr:colOff>1680308</xdr:colOff>
      <xdr:row>12</xdr:row>
      <xdr:rowOff>42679</xdr:rowOff>
    </xdr:from>
    <xdr:to>
      <xdr:col>14</xdr:col>
      <xdr:colOff>350106</xdr:colOff>
      <xdr:row>37</xdr:row>
      <xdr:rowOff>102972</xdr:rowOff>
    </xdr:to>
    <xdr:graphicFrame macro="">
      <xdr:nvGraphicFramePr>
        <xdr:cNvPr id="20" name="Chart 19">
          <a:extLst>
            <a:ext uri="{FF2B5EF4-FFF2-40B4-BE49-F238E27FC236}">
              <a16:creationId xmlns:a16="http://schemas.microsoft.com/office/drawing/2014/main" id="{34922F72-A483-4D51-9061-2A9D7BC97C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19</xdr:col>
      <xdr:colOff>1262186</xdr:colOff>
      <xdr:row>32</xdr:row>
      <xdr:rowOff>101372</xdr:rowOff>
    </xdr:from>
    <xdr:to>
      <xdr:col>21</xdr:col>
      <xdr:colOff>1357925</xdr:colOff>
      <xdr:row>41</xdr:row>
      <xdr:rowOff>116166</xdr:rowOff>
    </xdr:to>
    <mc:AlternateContent xmlns:mc="http://schemas.openxmlformats.org/markup-compatibility/2006" xmlns:a14="http://schemas.microsoft.com/office/drawing/2010/main">
      <mc:Choice Requires="a14">
        <xdr:graphicFrame macro="">
          <xdr:nvGraphicFramePr>
            <xdr:cNvPr id="25" name="الجهة الحكومية">
              <a:extLst>
                <a:ext uri="{FF2B5EF4-FFF2-40B4-BE49-F238E27FC236}">
                  <a16:creationId xmlns:a16="http://schemas.microsoft.com/office/drawing/2014/main" id="{CEB826E0-C8D9-69E1-1EAA-0F55C65E24EC}"/>
                </a:ext>
              </a:extLst>
            </xdr:cNvPr>
            <xdr:cNvGraphicFramePr/>
          </xdr:nvGraphicFramePr>
          <xdr:xfrm>
            <a:off x="0" y="0"/>
            <a:ext cx="0" cy="0"/>
          </xdr:xfrm>
          <a:graphic>
            <a:graphicData uri="http://schemas.microsoft.com/office/drawing/2010/slicer">
              <sle:slicer xmlns:sle="http://schemas.microsoft.com/office/drawing/2010/slicer" name="الجهة الحكومية"/>
            </a:graphicData>
          </a:graphic>
        </xdr:graphicFrame>
      </mc:Choice>
      <mc:Fallback xmlns="">
        <xdr:sp macro="" textlink="">
          <xdr:nvSpPr>
            <xdr:cNvPr id="0" name=""/>
            <xdr:cNvSpPr>
              <a:spLocks noTextEdit="1"/>
            </xdr:cNvSpPr>
          </xdr:nvSpPr>
          <xdr:spPr>
            <a:xfrm>
              <a:off x="10048977575" y="6197372"/>
              <a:ext cx="4942905" cy="17292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1301262</xdr:colOff>
      <xdr:row>43</xdr:row>
      <xdr:rowOff>22154</xdr:rowOff>
    </xdr:from>
    <xdr:to>
      <xdr:col>21</xdr:col>
      <xdr:colOff>1397001</xdr:colOff>
      <xdr:row>57</xdr:row>
      <xdr:rowOff>39077</xdr:rowOff>
    </xdr:to>
    <mc:AlternateContent xmlns:mc="http://schemas.openxmlformats.org/markup-compatibility/2006" xmlns:a14="http://schemas.microsoft.com/office/drawing/2010/main">
      <mc:Choice Requires="a14">
        <xdr:graphicFrame macro="">
          <xdr:nvGraphicFramePr>
            <xdr:cNvPr id="28" name="تاريخ بداية التقديم (Month)">
              <a:extLst>
                <a:ext uri="{FF2B5EF4-FFF2-40B4-BE49-F238E27FC236}">
                  <a16:creationId xmlns:a16="http://schemas.microsoft.com/office/drawing/2014/main" id="{2AB28E7D-2E36-5872-4241-02B715806776}"/>
                </a:ext>
              </a:extLst>
            </xdr:cNvPr>
            <xdr:cNvGraphicFramePr/>
          </xdr:nvGraphicFramePr>
          <xdr:xfrm>
            <a:off x="0" y="0"/>
            <a:ext cx="0" cy="0"/>
          </xdr:xfrm>
          <a:graphic>
            <a:graphicData uri="http://schemas.microsoft.com/office/drawing/2010/slicer">
              <sle:slicer xmlns:sle="http://schemas.microsoft.com/office/drawing/2010/slicer" name="تاريخ بداية التقديم (Month)"/>
            </a:graphicData>
          </a:graphic>
        </xdr:graphicFrame>
      </mc:Choice>
      <mc:Fallback xmlns="">
        <xdr:sp macro="" textlink="">
          <xdr:nvSpPr>
            <xdr:cNvPr id="0" name=""/>
            <xdr:cNvSpPr>
              <a:spLocks noTextEdit="1"/>
            </xdr:cNvSpPr>
          </xdr:nvSpPr>
          <xdr:spPr>
            <a:xfrm>
              <a:off x="10048938499" y="8213654"/>
              <a:ext cx="4942905" cy="26839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1262186</xdr:colOff>
      <xdr:row>59</xdr:row>
      <xdr:rowOff>35457</xdr:rowOff>
    </xdr:from>
    <xdr:to>
      <xdr:col>21</xdr:col>
      <xdr:colOff>1357925</xdr:colOff>
      <xdr:row>67</xdr:row>
      <xdr:rowOff>24713</xdr:rowOff>
    </xdr:to>
    <mc:AlternateContent xmlns:mc="http://schemas.openxmlformats.org/markup-compatibility/2006" xmlns:a14="http://schemas.microsoft.com/office/drawing/2010/main">
      <mc:Choice Requires="a14">
        <xdr:graphicFrame macro="">
          <xdr:nvGraphicFramePr>
            <xdr:cNvPr id="29" name="تاريخ بداية التقديم (Year)">
              <a:extLst>
                <a:ext uri="{FF2B5EF4-FFF2-40B4-BE49-F238E27FC236}">
                  <a16:creationId xmlns:a16="http://schemas.microsoft.com/office/drawing/2014/main" id="{88E00C11-5217-F39A-3E43-66419CE39C25}"/>
                </a:ext>
              </a:extLst>
            </xdr:cNvPr>
            <xdr:cNvGraphicFramePr/>
          </xdr:nvGraphicFramePr>
          <xdr:xfrm>
            <a:off x="0" y="0"/>
            <a:ext cx="0" cy="0"/>
          </xdr:xfrm>
          <a:graphic>
            <a:graphicData uri="http://schemas.microsoft.com/office/drawing/2010/slicer">
              <sle:slicer xmlns:sle="http://schemas.microsoft.com/office/drawing/2010/slicer" name="تاريخ بداية التقديم (Year)"/>
            </a:graphicData>
          </a:graphic>
        </xdr:graphicFrame>
      </mc:Choice>
      <mc:Fallback xmlns="">
        <xdr:sp macro="" textlink="">
          <xdr:nvSpPr>
            <xdr:cNvPr id="0" name=""/>
            <xdr:cNvSpPr>
              <a:spLocks noTextEdit="1"/>
            </xdr:cNvSpPr>
          </xdr:nvSpPr>
          <xdr:spPr>
            <a:xfrm>
              <a:off x="10048977575" y="11274957"/>
              <a:ext cx="4942905" cy="15132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919432</xdr:colOff>
      <xdr:row>1</xdr:row>
      <xdr:rowOff>5993</xdr:rowOff>
    </xdr:from>
    <xdr:to>
      <xdr:col>4</xdr:col>
      <xdr:colOff>1132766</xdr:colOff>
      <xdr:row>10</xdr:row>
      <xdr:rowOff>19493</xdr:rowOff>
    </xdr:to>
    <xdr:sp macro="" textlink="">
      <xdr:nvSpPr>
        <xdr:cNvPr id="69" name="Rectangle: Rounded Corners 68">
          <a:extLst>
            <a:ext uri="{FF2B5EF4-FFF2-40B4-BE49-F238E27FC236}">
              <a16:creationId xmlns:a16="http://schemas.microsoft.com/office/drawing/2014/main" id="{231A7081-0B4C-47D5-89DE-7C393F329426}"/>
            </a:ext>
          </a:extLst>
        </xdr:cNvPr>
        <xdr:cNvSpPr/>
      </xdr:nvSpPr>
      <xdr:spPr>
        <a:xfrm flipH="1">
          <a:off x="10076952234" y="196493"/>
          <a:ext cx="3600000" cy="1728000"/>
        </a:xfrm>
        <a:prstGeom prst="roundRect">
          <a:avLst>
            <a:gd name="adj" fmla="val 11617"/>
          </a:avLst>
        </a:prstGeom>
        <a:solidFill>
          <a:srgbClr val="303B4A"/>
        </a:solidFill>
        <a:effectLst>
          <a:outerShdw blurRad="50800" dist="50800" dir="1800000" sx="101000" sy="101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 </a:t>
          </a:r>
        </a:p>
      </xdr:txBody>
    </xdr:sp>
    <xdr:clientData/>
  </xdr:twoCellAnchor>
  <xdr:oneCellAnchor>
    <xdr:from>
      <xdr:col>2</xdr:col>
      <xdr:colOff>1004175</xdr:colOff>
      <xdr:row>0</xdr:row>
      <xdr:rowOff>154160</xdr:rowOff>
    </xdr:from>
    <xdr:ext cx="3430514" cy="736997"/>
    <xdr:sp macro="" textlink="">
      <xdr:nvSpPr>
        <xdr:cNvPr id="70" name="TextBox 69">
          <a:extLst>
            <a:ext uri="{FF2B5EF4-FFF2-40B4-BE49-F238E27FC236}">
              <a16:creationId xmlns:a16="http://schemas.microsoft.com/office/drawing/2014/main" id="{DE8AC733-BD2A-4FBC-8879-6C5EAA2986B3}"/>
            </a:ext>
          </a:extLst>
        </xdr:cNvPr>
        <xdr:cNvSpPr txBox="1"/>
      </xdr:nvSpPr>
      <xdr:spPr>
        <a:xfrm flipH="1">
          <a:off x="10077036977" y="154160"/>
          <a:ext cx="3430514" cy="7369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ar-EG" sz="3600" b="1" baseline="0">
              <a:solidFill>
                <a:schemeClr val="accent5">
                  <a:lumMod val="20000"/>
                  <a:lumOff val="80000"/>
                </a:schemeClr>
              </a:solidFill>
              <a:latin typeface="Sakkal Majalla" panose="02000000000000000000" pitchFamily="2" charset="-78"/>
              <a:ea typeface="Lato Black" panose="020F0502020204030203" pitchFamily="34" charset="0"/>
              <a:cs typeface="Sakkal Majalla" panose="02000000000000000000" pitchFamily="2" charset="-78"/>
            </a:rPr>
            <a:t>عدد المشاريع المقبولة</a:t>
          </a:r>
          <a:endParaRPr lang="en-US" sz="3600" b="1">
            <a:solidFill>
              <a:schemeClr val="accent5">
                <a:lumMod val="20000"/>
                <a:lumOff val="80000"/>
              </a:schemeClr>
            </a:solidFill>
            <a:latin typeface="Sakkal Majalla" panose="02000000000000000000" pitchFamily="2" charset="-78"/>
            <a:ea typeface="Lato Black" panose="020F0502020204030203" pitchFamily="34" charset="0"/>
            <a:cs typeface="Sakkal Majalla" panose="02000000000000000000" pitchFamily="2" charset="-78"/>
          </a:endParaRPr>
        </a:p>
      </xdr:txBody>
    </xdr:sp>
    <xdr:clientData/>
  </xdr:oneCellAnchor>
  <xdr:oneCellAnchor>
    <xdr:from>
      <xdr:col>2</xdr:col>
      <xdr:colOff>1409850</xdr:colOff>
      <xdr:row>5</xdr:row>
      <xdr:rowOff>57199</xdr:rowOff>
    </xdr:from>
    <xdr:ext cx="2688170" cy="593304"/>
    <xdr:sp macro="" textlink="'مؤشرات اساسية'!S10">
      <xdr:nvSpPr>
        <xdr:cNvPr id="71" name="TextBox 70">
          <a:extLst>
            <a:ext uri="{FF2B5EF4-FFF2-40B4-BE49-F238E27FC236}">
              <a16:creationId xmlns:a16="http://schemas.microsoft.com/office/drawing/2014/main" id="{F699F034-53D9-4862-8E15-69EDC5B16314}"/>
            </a:ext>
          </a:extLst>
        </xdr:cNvPr>
        <xdr:cNvSpPr txBox="1"/>
      </xdr:nvSpPr>
      <xdr:spPr>
        <a:xfrm flipH="1">
          <a:off x="10081776313" y="1009699"/>
          <a:ext cx="2688170"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E0563304-6B1F-4266-9C9C-F67824430CB7}" type="TxLink">
            <a:rPr lang="en-US" sz="3200" b="1" i="0" u="none" strike="noStrike">
              <a:solidFill>
                <a:schemeClr val="bg1"/>
              </a:solidFill>
              <a:latin typeface="Calibri"/>
              <a:ea typeface="Lato Black" panose="020F0502020204030203" pitchFamily="34" charset="0"/>
              <a:cs typeface="Calibri"/>
            </a:rPr>
            <a:pPr marL="0" indent="0" algn="ctr"/>
            <a:t>11</a:t>
          </a:fld>
          <a:endParaRPr lang="en-US" sz="3200" b="1" i="0" u="none" strike="noStrike">
            <a:solidFill>
              <a:schemeClr val="bg1"/>
            </a:solidFill>
            <a:latin typeface="Calibri"/>
            <a:ea typeface="Lato Black" panose="020F0502020204030203" pitchFamily="34" charset="0"/>
            <a:cs typeface="Calibri"/>
          </a:endParaRPr>
        </a:p>
      </xdr:txBody>
    </xdr:sp>
    <xdr:clientData/>
  </xdr:oneCellAnchor>
  <xdr:twoCellAnchor>
    <xdr:from>
      <xdr:col>4</xdr:col>
      <xdr:colOff>1312722</xdr:colOff>
      <xdr:row>1</xdr:row>
      <xdr:rowOff>5993</xdr:rowOff>
    </xdr:from>
    <xdr:to>
      <xdr:col>6</xdr:col>
      <xdr:colOff>1822388</xdr:colOff>
      <xdr:row>10</xdr:row>
      <xdr:rowOff>19493</xdr:rowOff>
    </xdr:to>
    <xdr:sp macro="" textlink="">
      <xdr:nvSpPr>
        <xdr:cNvPr id="72" name="Rectangle: Rounded Corners 71">
          <a:extLst>
            <a:ext uri="{FF2B5EF4-FFF2-40B4-BE49-F238E27FC236}">
              <a16:creationId xmlns:a16="http://schemas.microsoft.com/office/drawing/2014/main" id="{06A6774F-E4B8-4A49-B2F5-7277AE6663CA}"/>
            </a:ext>
          </a:extLst>
        </xdr:cNvPr>
        <xdr:cNvSpPr/>
      </xdr:nvSpPr>
      <xdr:spPr>
        <a:xfrm flipH="1">
          <a:off x="10077574945" y="196493"/>
          <a:ext cx="3600000" cy="1728000"/>
        </a:xfrm>
        <a:prstGeom prst="roundRect">
          <a:avLst>
            <a:gd name="adj" fmla="val 11617"/>
          </a:avLst>
        </a:prstGeom>
        <a:solidFill>
          <a:srgbClr val="303B4A"/>
        </a:solidFill>
        <a:effectLst>
          <a:outerShdw blurRad="50800" dist="50800" dir="1800000" sx="101000" sy="101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 </a:t>
          </a:r>
        </a:p>
      </xdr:txBody>
    </xdr:sp>
    <xdr:clientData/>
  </xdr:twoCellAnchor>
  <xdr:oneCellAnchor>
    <xdr:from>
      <xdr:col>4</xdr:col>
      <xdr:colOff>1270001</xdr:colOff>
      <xdr:row>0</xdr:row>
      <xdr:rowOff>154160</xdr:rowOff>
    </xdr:from>
    <xdr:ext cx="3624193" cy="736997"/>
    <xdr:sp macro="" textlink="">
      <xdr:nvSpPr>
        <xdr:cNvPr id="73" name="TextBox 72">
          <a:extLst>
            <a:ext uri="{FF2B5EF4-FFF2-40B4-BE49-F238E27FC236}">
              <a16:creationId xmlns:a16="http://schemas.microsoft.com/office/drawing/2014/main" id="{37343A30-FF57-4DA4-82DD-43D796D8DB2D}"/>
            </a:ext>
          </a:extLst>
        </xdr:cNvPr>
        <xdr:cNvSpPr txBox="1"/>
      </xdr:nvSpPr>
      <xdr:spPr>
        <a:xfrm flipH="1">
          <a:off x="10073190806" y="154160"/>
          <a:ext cx="3624193" cy="7369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ctr"/>
          <a:r>
            <a:rPr lang="ar-EG" sz="3600" b="1" baseline="0">
              <a:solidFill>
                <a:schemeClr val="accent5">
                  <a:lumMod val="20000"/>
                  <a:lumOff val="80000"/>
                </a:schemeClr>
              </a:solidFill>
              <a:latin typeface="Sakkal Majalla" panose="02000000000000000000" pitchFamily="2" charset="-78"/>
              <a:ea typeface="Lato Black" panose="020F0502020204030203" pitchFamily="34" charset="0"/>
              <a:cs typeface="Sakkal Majalla" panose="02000000000000000000" pitchFamily="2" charset="-78"/>
            </a:rPr>
            <a:t>قيمة الكراسات المقبولة</a:t>
          </a:r>
          <a:endParaRPr lang="en-US" sz="3600" b="1" baseline="0">
            <a:solidFill>
              <a:schemeClr val="accent5">
                <a:lumMod val="20000"/>
                <a:lumOff val="80000"/>
              </a:schemeClr>
            </a:solidFill>
            <a:latin typeface="Sakkal Majalla" panose="02000000000000000000" pitchFamily="2" charset="-78"/>
            <a:ea typeface="Lato Black" panose="020F0502020204030203" pitchFamily="34" charset="0"/>
            <a:cs typeface="Sakkal Majalla" panose="02000000000000000000" pitchFamily="2" charset="-78"/>
          </a:endParaRPr>
        </a:p>
      </xdr:txBody>
    </xdr:sp>
    <xdr:clientData/>
  </xdr:oneCellAnchor>
  <xdr:oneCellAnchor>
    <xdr:from>
      <xdr:col>4</xdr:col>
      <xdr:colOff>1738013</xdr:colOff>
      <xdr:row>5</xdr:row>
      <xdr:rowOff>57199</xdr:rowOff>
    </xdr:from>
    <xdr:ext cx="2688170" cy="593304"/>
    <xdr:sp macro="" textlink="'مؤشرات اساسية'!S12">
      <xdr:nvSpPr>
        <xdr:cNvPr id="74" name="TextBox 73">
          <a:extLst>
            <a:ext uri="{FF2B5EF4-FFF2-40B4-BE49-F238E27FC236}">
              <a16:creationId xmlns:a16="http://schemas.microsoft.com/office/drawing/2014/main" id="{33DC8C52-6836-45A4-A8E4-1C1D59C648C1}"/>
            </a:ext>
          </a:extLst>
        </xdr:cNvPr>
        <xdr:cNvSpPr txBox="1"/>
      </xdr:nvSpPr>
      <xdr:spPr>
        <a:xfrm flipH="1">
          <a:off x="10073658817" y="1009699"/>
          <a:ext cx="2688170"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3301BB77-149A-4A95-8FD4-68ABCD3A7B08}" type="TxLink">
            <a:rPr lang="en-US" sz="3200" b="1" i="0" u="none" strike="noStrike">
              <a:solidFill>
                <a:schemeClr val="bg1"/>
              </a:solidFill>
              <a:latin typeface="Calibri"/>
              <a:ea typeface="Lato Black" panose="020F0502020204030203" pitchFamily="34" charset="0"/>
              <a:cs typeface="Calibri"/>
            </a:rPr>
            <a:pPr marL="0" indent="0" algn="ctr"/>
            <a:t>8780</a:t>
          </a:fld>
          <a:endParaRPr lang="en-US" sz="3200" b="1" i="0" u="none" strike="noStrike">
            <a:solidFill>
              <a:schemeClr val="bg1"/>
            </a:solidFill>
            <a:latin typeface="Calibri"/>
            <a:ea typeface="Lato Black" panose="020F0502020204030203" pitchFamily="34" charset="0"/>
            <a:cs typeface="Calibri"/>
          </a:endParaRPr>
        </a:p>
      </xdr:txBody>
    </xdr:sp>
    <xdr:clientData/>
  </xdr:oneCellAnchor>
  <xdr:twoCellAnchor>
    <xdr:from>
      <xdr:col>6</xdr:col>
      <xdr:colOff>2002344</xdr:colOff>
      <xdr:row>1</xdr:row>
      <xdr:rowOff>5993</xdr:rowOff>
    </xdr:from>
    <xdr:to>
      <xdr:col>8</xdr:col>
      <xdr:colOff>1623011</xdr:colOff>
      <xdr:row>10</xdr:row>
      <xdr:rowOff>19493</xdr:rowOff>
    </xdr:to>
    <xdr:sp macro="" textlink="">
      <xdr:nvSpPr>
        <xdr:cNvPr id="75" name="Rectangle: Rounded Corners 74">
          <a:extLst>
            <a:ext uri="{FF2B5EF4-FFF2-40B4-BE49-F238E27FC236}">
              <a16:creationId xmlns:a16="http://schemas.microsoft.com/office/drawing/2014/main" id="{D9E61D9F-58C8-453F-9216-CA3C4DE4DCFA}"/>
            </a:ext>
          </a:extLst>
        </xdr:cNvPr>
        <xdr:cNvSpPr/>
      </xdr:nvSpPr>
      <xdr:spPr>
        <a:xfrm flipH="1">
          <a:off x="10069392322" y="196493"/>
          <a:ext cx="3600000" cy="1728000"/>
        </a:xfrm>
        <a:prstGeom prst="roundRect">
          <a:avLst>
            <a:gd name="adj" fmla="val 11617"/>
          </a:avLst>
        </a:prstGeom>
        <a:solidFill>
          <a:srgbClr val="303B4A"/>
        </a:solidFill>
        <a:effectLst>
          <a:outerShdw blurRad="50800" dist="50800" dir="1800000" sx="101000" sy="101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 </a:t>
          </a:r>
        </a:p>
      </xdr:txBody>
    </xdr:sp>
    <xdr:clientData/>
  </xdr:twoCellAnchor>
  <xdr:oneCellAnchor>
    <xdr:from>
      <xdr:col>6</xdr:col>
      <xdr:colOff>2087087</xdr:colOff>
      <xdr:row>0</xdr:row>
      <xdr:rowOff>154160</xdr:rowOff>
    </xdr:from>
    <xdr:ext cx="3430514" cy="736997"/>
    <xdr:sp macro="" textlink="">
      <xdr:nvSpPr>
        <xdr:cNvPr id="76" name="TextBox 75">
          <a:extLst>
            <a:ext uri="{FF2B5EF4-FFF2-40B4-BE49-F238E27FC236}">
              <a16:creationId xmlns:a16="http://schemas.microsoft.com/office/drawing/2014/main" id="{021AFD66-1EB1-4D81-AD91-1954751CA9A4}"/>
            </a:ext>
          </a:extLst>
        </xdr:cNvPr>
        <xdr:cNvSpPr txBox="1"/>
      </xdr:nvSpPr>
      <xdr:spPr>
        <a:xfrm flipH="1">
          <a:off x="10069477065" y="154160"/>
          <a:ext cx="3430514" cy="7369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ar-EG" sz="3600" b="1" baseline="0">
              <a:solidFill>
                <a:schemeClr val="accent5">
                  <a:lumMod val="20000"/>
                  <a:lumOff val="80000"/>
                </a:schemeClr>
              </a:solidFill>
              <a:latin typeface="Sakkal Majalla" panose="02000000000000000000" pitchFamily="2" charset="-78"/>
              <a:ea typeface="Lato Black" panose="020F0502020204030203" pitchFamily="34" charset="0"/>
              <a:cs typeface="Sakkal Majalla" panose="02000000000000000000" pitchFamily="2" charset="-78"/>
            </a:rPr>
            <a:t>قيمة المشاريع المقبولة</a:t>
          </a:r>
          <a:endParaRPr lang="en-US" sz="3600" b="1">
            <a:solidFill>
              <a:schemeClr val="accent5">
                <a:lumMod val="20000"/>
                <a:lumOff val="80000"/>
              </a:schemeClr>
            </a:solidFill>
            <a:latin typeface="Sakkal Majalla" panose="02000000000000000000" pitchFamily="2" charset="-78"/>
            <a:ea typeface="Lato Black" panose="020F0502020204030203" pitchFamily="34" charset="0"/>
            <a:cs typeface="Sakkal Majalla" panose="02000000000000000000" pitchFamily="2" charset="-78"/>
          </a:endParaRPr>
        </a:p>
      </xdr:txBody>
    </xdr:sp>
    <xdr:clientData/>
  </xdr:oneCellAnchor>
  <xdr:oneCellAnchor>
    <xdr:from>
      <xdr:col>7</xdr:col>
      <xdr:colOff>249017</xdr:colOff>
      <xdr:row>5</xdr:row>
      <xdr:rowOff>57199</xdr:rowOff>
    </xdr:from>
    <xdr:ext cx="2688170" cy="593304"/>
    <xdr:sp macro="" textlink="'مؤشرات اساسية'!S11">
      <xdr:nvSpPr>
        <xdr:cNvPr id="77" name="TextBox 76">
          <a:extLst>
            <a:ext uri="{FF2B5EF4-FFF2-40B4-BE49-F238E27FC236}">
              <a16:creationId xmlns:a16="http://schemas.microsoft.com/office/drawing/2014/main" id="{AFC4783B-807C-4595-88DD-E67E447C3DD6}"/>
            </a:ext>
          </a:extLst>
        </xdr:cNvPr>
        <xdr:cNvSpPr txBox="1"/>
      </xdr:nvSpPr>
      <xdr:spPr>
        <a:xfrm flipH="1">
          <a:off x="10074174146" y="1009699"/>
          <a:ext cx="2688170"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7AD6608A-4245-4545-AAF6-2BE7272E9119}" type="TxLink">
            <a:rPr lang="en-US" sz="3200" b="1" i="0" u="none" strike="noStrike">
              <a:solidFill>
                <a:schemeClr val="bg1"/>
              </a:solidFill>
              <a:latin typeface="Calibri"/>
              <a:ea typeface="Lato Black" panose="020F0502020204030203" pitchFamily="34" charset="0"/>
              <a:cs typeface="Calibri"/>
            </a:rPr>
            <a:pPr marL="0" indent="0" algn="ctr"/>
            <a:t>5127500</a:t>
          </a:fld>
          <a:endParaRPr lang="en-US" sz="3200" b="1" i="0" u="none" strike="noStrike">
            <a:solidFill>
              <a:schemeClr val="bg1"/>
            </a:solidFill>
            <a:latin typeface="Calibri"/>
            <a:ea typeface="Lato Black" panose="020F0502020204030203" pitchFamily="34" charset="0"/>
            <a:cs typeface="Calibri"/>
          </a:endParaRPr>
        </a:p>
      </xdr:txBody>
    </xdr:sp>
    <xdr:clientData/>
  </xdr:oneCellAnchor>
  <xdr:twoCellAnchor>
    <xdr:from>
      <xdr:col>8</xdr:col>
      <xdr:colOff>1793217</xdr:colOff>
      <xdr:row>1</xdr:row>
      <xdr:rowOff>5993</xdr:rowOff>
    </xdr:from>
    <xdr:to>
      <xdr:col>11</xdr:col>
      <xdr:colOff>1159884</xdr:colOff>
      <xdr:row>10</xdr:row>
      <xdr:rowOff>19493</xdr:rowOff>
    </xdr:to>
    <xdr:sp macro="" textlink="">
      <xdr:nvSpPr>
        <xdr:cNvPr id="78" name="Rectangle: Rounded Corners 77">
          <a:extLst>
            <a:ext uri="{FF2B5EF4-FFF2-40B4-BE49-F238E27FC236}">
              <a16:creationId xmlns:a16="http://schemas.microsoft.com/office/drawing/2014/main" id="{9092BE1F-7FE0-4352-8271-9138F42FC866}"/>
            </a:ext>
          </a:extLst>
        </xdr:cNvPr>
        <xdr:cNvSpPr/>
      </xdr:nvSpPr>
      <xdr:spPr>
        <a:xfrm flipH="1">
          <a:off x="10065622116" y="196493"/>
          <a:ext cx="3600000" cy="1728000"/>
        </a:xfrm>
        <a:prstGeom prst="roundRect">
          <a:avLst>
            <a:gd name="adj" fmla="val 11617"/>
          </a:avLst>
        </a:prstGeom>
        <a:solidFill>
          <a:srgbClr val="303B4A"/>
        </a:solidFill>
        <a:effectLst>
          <a:outerShdw blurRad="50800" dist="50800" dir="1800000" sx="101000" sy="101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 </a:t>
          </a:r>
        </a:p>
      </xdr:txBody>
    </xdr:sp>
    <xdr:clientData/>
  </xdr:twoCellAnchor>
  <xdr:oneCellAnchor>
    <xdr:from>
      <xdr:col>9</xdr:col>
      <xdr:colOff>356518</xdr:colOff>
      <xdr:row>5</xdr:row>
      <xdr:rowOff>57199</xdr:rowOff>
    </xdr:from>
    <xdr:ext cx="2688170" cy="593304"/>
    <xdr:sp macro="" textlink="'مؤشرات اساسية'!R10">
      <xdr:nvSpPr>
        <xdr:cNvPr id="80" name="TextBox 79">
          <a:extLst>
            <a:ext uri="{FF2B5EF4-FFF2-40B4-BE49-F238E27FC236}">
              <a16:creationId xmlns:a16="http://schemas.microsoft.com/office/drawing/2014/main" id="{A67062D9-E977-4C47-BD03-E7EB5BC7C781}"/>
            </a:ext>
          </a:extLst>
        </xdr:cNvPr>
        <xdr:cNvSpPr txBox="1"/>
      </xdr:nvSpPr>
      <xdr:spPr>
        <a:xfrm flipH="1">
          <a:off x="10070404812" y="1009699"/>
          <a:ext cx="2688170"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738ECEBA-5591-4EC5-A96D-867A3B332020}" type="TxLink">
            <a:rPr lang="en-US" sz="3200" b="1" i="0" u="none" strike="noStrike">
              <a:solidFill>
                <a:schemeClr val="bg1"/>
              </a:solidFill>
              <a:latin typeface="Calibri"/>
              <a:ea typeface="Lato Black" panose="020F0502020204030203" pitchFamily="34" charset="0"/>
              <a:cs typeface="Calibri"/>
            </a:rPr>
            <a:pPr marL="0" indent="0" algn="ctr"/>
            <a:t>2</a:t>
          </a:fld>
          <a:endParaRPr lang="en-US" sz="3200" b="1" i="0" u="none" strike="noStrike">
            <a:solidFill>
              <a:schemeClr val="bg1"/>
            </a:solidFill>
            <a:latin typeface="Calibri"/>
            <a:ea typeface="Lato Black" panose="020F0502020204030203" pitchFamily="34" charset="0"/>
            <a:cs typeface="Calibri"/>
          </a:endParaRPr>
        </a:p>
      </xdr:txBody>
    </xdr:sp>
    <xdr:clientData/>
  </xdr:oneCellAnchor>
  <xdr:twoCellAnchor>
    <xdr:from>
      <xdr:col>11</xdr:col>
      <xdr:colOff>1349553</xdr:colOff>
      <xdr:row>1</xdr:row>
      <xdr:rowOff>5993</xdr:rowOff>
    </xdr:from>
    <xdr:to>
      <xdr:col>14</xdr:col>
      <xdr:colOff>356386</xdr:colOff>
      <xdr:row>10</xdr:row>
      <xdr:rowOff>19493</xdr:rowOff>
    </xdr:to>
    <xdr:sp macro="" textlink="">
      <xdr:nvSpPr>
        <xdr:cNvPr id="81" name="Rectangle: Rounded Corners 80">
          <a:extLst>
            <a:ext uri="{FF2B5EF4-FFF2-40B4-BE49-F238E27FC236}">
              <a16:creationId xmlns:a16="http://schemas.microsoft.com/office/drawing/2014/main" id="{9229DE69-3B1C-49DC-BCF2-11A6D83AF4B8}"/>
            </a:ext>
          </a:extLst>
        </xdr:cNvPr>
        <xdr:cNvSpPr/>
      </xdr:nvSpPr>
      <xdr:spPr>
        <a:xfrm flipH="1">
          <a:off x="10061832447" y="196493"/>
          <a:ext cx="3600000" cy="1728000"/>
        </a:xfrm>
        <a:prstGeom prst="roundRect">
          <a:avLst>
            <a:gd name="adj" fmla="val 11617"/>
          </a:avLst>
        </a:prstGeom>
        <a:solidFill>
          <a:srgbClr val="303B4A"/>
        </a:solidFill>
        <a:effectLst>
          <a:outerShdw blurRad="50800" dist="50800" dir="1800000" sx="101000" sy="101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 </a:t>
          </a:r>
        </a:p>
      </xdr:txBody>
    </xdr:sp>
    <xdr:clientData/>
  </xdr:twoCellAnchor>
  <xdr:oneCellAnchor>
    <xdr:from>
      <xdr:col>12</xdr:col>
      <xdr:colOff>146517</xdr:colOff>
      <xdr:row>5</xdr:row>
      <xdr:rowOff>57199</xdr:rowOff>
    </xdr:from>
    <xdr:ext cx="2688170" cy="593304"/>
    <xdr:sp macro="" textlink="'مؤشرات اساسية'!R12">
      <xdr:nvSpPr>
        <xdr:cNvPr id="83" name="TextBox 82">
          <a:extLst>
            <a:ext uri="{FF2B5EF4-FFF2-40B4-BE49-F238E27FC236}">
              <a16:creationId xmlns:a16="http://schemas.microsoft.com/office/drawing/2014/main" id="{0EDEFD5D-DF2B-4F04-BCC3-E494639DC9EB}"/>
            </a:ext>
          </a:extLst>
        </xdr:cNvPr>
        <xdr:cNvSpPr txBox="1"/>
      </xdr:nvSpPr>
      <xdr:spPr>
        <a:xfrm flipH="1">
          <a:off x="10066593146" y="1009699"/>
          <a:ext cx="2688170"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16FF6482-9C49-4341-9F76-E157A31AF709}" type="TxLink">
            <a:rPr lang="en-US" sz="3200" b="1" i="0" u="none" strike="noStrike">
              <a:solidFill>
                <a:schemeClr val="bg1"/>
              </a:solidFill>
              <a:latin typeface="Calibri"/>
              <a:ea typeface="Lato Black" panose="020F0502020204030203" pitchFamily="34" charset="0"/>
              <a:cs typeface="Calibri"/>
            </a:rPr>
            <a:pPr marL="0" indent="0" algn="ctr"/>
            <a:t>625000</a:t>
          </a:fld>
          <a:endParaRPr lang="en-US" sz="3200" b="1" i="0" u="none" strike="noStrike">
            <a:solidFill>
              <a:schemeClr val="bg1"/>
            </a:solidFill>
            <a:latin typeface="Calibri"/>
            <a:ea typeface="Lato Black" panose="020F0502020204030203" pitchFamily="34" charset="0"/>
            <a:cs typeface="Calibri"/>
          </a:endParaRPr>
        </a:p>
      </xdr:txBody>
    </xdr:sp>
    <xdr:clientData/>
  </xdr:oneCellAnchor>
  <xdr:twoCellAnchor>
    <xdr:from>
      <xdr:col>14</xdr:col>
      <xdr:colOff>526590</xdr:colOff>
      <xdr:row>1</xdr:row>
      <xdr:rowOff>5993</xdr:rowOff>
    </xdr:from>
    <xdr:to>
      <xdr:col>16</xdr:col>
      <xdr:colOff>1353757</xdr:colOff>
      <xdr:row>10</xdr:row>
      <xdr:rowOff>19493</xdr:rowOff>
    </xdr:to>
    <xdr:sp macro="" textlink="">
      <xdr:nvSpPr>
        <xdr:cNvPr id="84" name="Rectangle: Rounded Corners 83">
          <a:extLst>
            <a:ext uri="{FF2B5EF4-FFF2-40B4-BE49-F238E27FC236}">
              <a16:creationId xmlns:a16="http://schemas.microsoft.com/office/drawing/2014/main" id="{82C23D0E-D62D-4EBF-A3EE-08C57743C653}"/>
            </a:ext>
          </a:extLst>
        </xdr:cNvPr>
        <xdr:cNvSpPr/>
      </xdr:nvSpPr>
      <xdr:spPr>
        <a:xfrm flipH="1">
          <a:off x="10058062243" y="196493"/>
          <a:ext cx="3600000" cy="1728000"/>
        </a:xfrm>
        <a:prstGeom prst="roundRect">
          <a:avLst>
            <a:gd name="adj" fmla="val 11617"/>
          </a:avLst>
        </a:prstGeom>
        <a:solidFill>
          <a:srgbClr val="303B4A"/>
        </a:solidFill>
        <a:effectLst>
          <a:outerShdw blurRad="50800" dist="50800" dir="1800000" sx="101000" sy="101000" algn="ctr" rotWithShape="0">
            <a:srgbClr val="000000">
              <a:alpha val="43137"/>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 </a:t>
          </a:r>
        </a:p>
      </xdr:txBody>
    </xdr:sp>
    <xdr:clientData/>
  </xdr:twoCellAnchor>
  <xdr:oneCellAnchor>
    <xdr:from>
      <xdr:col>15</xdr:col>
      <xdr:colOff>17</xdr:colOff>
      <xdr:row>5</xdr:row>
      <xdr:rowOff>57199</xdr:rowOff>
    </xdr:from>
    <xdr:ext cx="2688170" cy="593304"/>
    <xdr:sp macro="" textlink="'مؤشرات اساسية'!R11">
      <xdr:nvSpPr>
        <xdr:cNvPr id="86" name="TextBox 85">
          <a:extLst>
            <a:ext uri="{FF2B5EF4-FFF2-40B4-BE49-F238E27FC236}">
              <a16:creationId xmlns:a16="http://schemas.microsoft.com/office/drawing/2014/main" id="{E282B0EF-6D95-411E-AD47-79E5C3075B14}"/>
            </a:ext>
          </a:extLst>
        </xdr:cNvPr>
        <xdr:cNvSpPr txBox="1"/>
      </xdr:nvSpPr>
      <xdr:spPr>
        <a:xfrm flipH="1">
          <a:off x="10062993146" y="1009699"/>
          <a:ext cx="2688170" cy="5933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A40B863E-5153-493B-B4FC-BF42EB3502B0}" type="TxLink">
            <a:rPr lang="en-US" sz="3200" b="1" i="0" u="none" strike="noStrike">
              <a:solidFill>
                <a:schemeClr val="bg1"/>
              </a:solidFill>
              <a:latin typeface="Calibri"/>
              <a:ea typeface="Lato Black" panose="020F0502020204030203" pitchFamily="34" charset="0"/>
              <a:cs typeface="Calibri"/>
            </a:rPr>
            <a:pPr marL="0" indent="0" algn="ctr"/>
            <a:t>2500</a:t>
          </a:fld>
          <a:endParaRPr lang="en-US" sz="3200" b="1" i="0" u="none" strike="noStrike">
            <a:solidFill>
              <a:schemeClr val="bg1"/>
            </a:solidFill>
            <a:latin typeface="Calibri"/>
            <a:ea typeface="Lato Black" panose="020F0502020204030203" pitchFamily="34" charset="0"/>
            <a:cs typeface="Calibri"/>
          </a:endParaRPr>
        </a:p>
      </xdr:txBody>
    </xdr:sp>
    <xdr:clientData/>
  </xdr:oneCellAnchor>
  <xdr:oneCellAnchor>
    <xdr:from>
      <xdr:col>8</xdr:col>
      <xdr:colOff>1877960</xdr:colOff>
      <xdr:row>0</xdr:row>
      <xdr:rowOff>154160</xdr:rowOff>
    </xdr:from>
    <xdr:ext cx="3430514" cy="736997"/>
    <xdr:sp macro="" textlink="">
      <xdr:nvSpPr>
        <xdr:cNvPr id="94" name="TextBox 93">
          <a:extLst>
            <a:ext uri="{FF2B5EF4-FFF2-40B4-BE49-F238E27FC236}">
              <a16:creationId xmlns:a16="http://schemas.microsoft.com/office/drawing/2014/main" id="{59C31AF6-57F3-4617-9784-3BDB9BFEFC42}"/>
            </a:ext>
          </a:extLst>
        </xdr:cNvPr>
        <xdr:cNvSpPr txBox="1"/>
      </xdr:nvSpPr>
      <xdr:spPr>
        <a:xfrm flipH="1">
          <a:off x="10065706859" y="154160"/>
          <a:ext cx="3430514" cy="7369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ar-EG" sz="3600" b="1" baseline="0">
              <a:solidFill>
                <a:schemeClr val="accent5">
                  <a:lumMod val="20000"/>
                  <a:lumOff val="80000"/>
                </a:schemeClr>
              </a:solidFill>
              <a:latin typeface="Sakkal Majalla" panose="02000000000000000000" pitchFamily="2" charset="-78"/>
              <a:ea typeface="Lato Black" panose="020F0502020204030203" pitchFamily="34" charset="0"/>
              <a:cs typeface="Sakkal Majalla" panose="02000000000000000000" pitchFamily="2" charset="-78"/>
            </a:rPr>
            <a:t>عدد المشاريع المرفوضة</a:t>
          </a:r>
          <a:endParaRPr lang="en-US" sz="3600" b="1">
            <a:solidFill>
              <a:schemeClr val="accent5">
                <a:lumMod val="20000"/>
                <a:lumOff val="80000"/>
              </a:schemeClr>
            </a:solidFill>
            <a:latin typeface="Sakkal Majalla" panose="02000000000000000000" pitchFamily="2" charset="-78"/>
            <a:ea typeface="Lato Black" panose="020F0502020204030203" pitchFamily="34" charset="0"/>
            <a:cs typeface="Sakkal Majalla" panose="02000000000000000000" pitchFamily="2" charset="-78"/>
          </a:endParaRPr>
        </a:p>
      </xdr:txBody>
    </xdr:sp>
    <xdr:clientData/>
  </xdr:oneCellAnchor>
  <xdr:oneCellAnchor>
    <xdr:from>
      <xdr:col>11</xdr:col>
      <xdr:colOff>1337456</xdr:colOff>
      <xdr:row>0</xdr:row>
      <xdr:rowOff>154160</xdr:rowOff>
    </xdr:from>
    <xdr:ext cx="3624193" cy="736997"/>
    <xdr:sp macro="" textlink="">
      <xdr:nvSpPr>
        <xdr:cNvPr id="95" name="TextBox 94">
          <a:extLst>
            <a:ext uri="{FF2B5EF4-FFF2-40B4-BE49-F238E27FC236}">
              <a16:creationId xmlns:a16="http://schemas.microsoft.com/office/drawing/2014/main" id="{E9234F94-0862-48C0-8D92-2F5CD7FBC363}"/>
            </a:ext>
          </a:extLst>
        </xdr:cNvPr>
        <xdr:cNvSpPr txBox="1"/>
      </xdr:nvSpPr>
      <xdr:spPr>
        <a:xfrm flipH="1">
          <a:off x="10061820351" y="154160"/>
          <a:ext cx="3624193" cy="7369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ctr"/>
          <a:r>
            <a:rPr lang="ar-EG" sz="3600" b="1" baseline="0">
              <a:solidFill>
                <a:schemeClr val="accent5">
                  <a:lumMod val="20000"/>
                  <a:lumOff val="80000"/>
                </a:schemeClr>
              </a:solidFill>
              <a:latin typeface="Sakkal Majalla" panose="02000000000000000000" pitchFamily="2" charset="-78"/>
              <a:ea typeface="Lato Black" panose="020F0502020204030203" pitchFamily="34" charset="0"/>
              <a:cs typeface="Sakkal Majalla" panose="02000000000000000000" pitchFamily="2" charset="-78"/>
            </a:rPr>
            <a:t>قيمة الكراسات المرفوضة</a:t>
          </a:r>
          <a:endParaRPr lang="en-US" sz="3600" b="1" baseline="0">
            <a:solidFill>
              <a:schemeClr val="accent5">
                <a:lumMod val="20000"/>
                <a:lumOff val="80000"/>
              </a:schemeClr>
            </a:solidFill>
            <a:latin typeface="Sakkal Majalla" panose="02000000000000000000" pitchFamily="2" charset="-78"/>
            <a:ea typeface="Lato Black" panose="020F0502020204030203" pitchFamily="34" charset="0"/>
            <a:cs typeface="Sakkal Majalla" panose="02000000000000000000" pitchFamily="2" charset="-78"/>
          </a:endParaRPr>
        </a:p>
      </xdr:txBody>
    </xdr:sp>
    <xdr:clientData/>
  </xdr:oneCellAnchor>
  <xdr:oneCellAnchor>
    <xdr:from>
      <xdr:col>14</xdr:col>
      <xdr:colOff>611333</xdr:colOff>
      <xdr:row>0</xdr:row>
      <xdr:rowOff>154160</xdr:rowOff>
    </xdr:from>
    <xdr:ext cx="3430514" cy="736997"/>
    <xdr:sp macro="" textlink="">
      <xdr:nvSpPr>
        <xdr:cNvPr id="96" name="TextBox 95">
          <a:extLst>
            <a:ext uri="{FF2B5EF4-FFF2-40B4-BE49-F238E27FC236}">
              <a16:creationId xmlns:a16="http://schemas.microsoft.com/office/drawing/2014/main" id="{E1490CB9-5383-4534-A66E-8FF4EE5620B6}"/>
            </a:ext>
          </a:extLst>
        </xdr:cNvPr>
        <xdr:cNvSpPr txBox="1"/>
      </xdr:nvSpPr>
      <xdr:spPr>
        <a:xfrm flipH="1">
          <a:off x="10058146986" y="154160"/>
          <a:ext cx="3430514" cy="7369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ar-EG" sz="3600" b="1" baseline="0">
              <a:solidFill>
                <a:schemeClr val="accent5">
                  <a:lumMod val="20000"/>
                  <a:lumOff val="80000"/>
                </a:schemeClr>
              </a:solidFill>
              <a:latin typeface="Sakkal Majalla" panose="02000000000000000000" pitchFamily="2" charset="-78"/>
              <a:ea typeface="Lato Black" panose="020F0502020204030203" pitchFamily="34" charset="0"/>
              <a:cs typeface="Sakkal Majalla" panose="02000000000000000000" pitchFamily="2" charset="-78"/>
            </a:rPr>
            <a:t>قيمة المشاريع المرفوضة</a:t>
          </a:r>
          <a:endParaRPr lang="en-US" sz="3600" b="1">
            <a:solidFill>
              <a:schemeClr val="accent5">
                <a:lumMod val="20000"/>
                <a:lumOff val="80000"/>
              </a:schemeClr>
            </a:solidFill>
            <a:latin typeface="Sakkal Majalla" panose="02000000000000000000" pitchFamily="2" charset="-78"/>
            <a:ea typeface="Lato Black" panose="020F0502020204030203" pitchFamily="34" charset="0"/>
            <a:cs typeface="Sakkal Majalla" panose="02000000000000000000" pitchFamily="2" charset="-78"/>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622.849925347226" createdVersion="8" refreshedVersion="8" minRefreshableVersion="3" recordCount="14" xr:uid="{970838FD-5738-4748-ACEF-AB99088DC544}">
  <cacheSource type="worksheet">
    <worksheetSource name="Table1"/>
  </cacheSource>
  <cacheFields count="18">
    <cacheField name="اسم المشروع" numFmtId="0">
      <sharedItems count="14">
        <s v="حفل تخريج الدفعة 65"/>
        <s v="حفل تخريج الدفعة 66"/>
        <s v="حفل تخريج الدفعة 67"/>
        <s v="حفل تخريج الدفعة 68"/>
        <s v="حفل تخريج الدفعة 69"/>
        <s v="حفل تخريج الدفعة 70"/>
        <s v="حفل تخريج الدفعة 71"/>
        <s v="حفل تخريج الدفعة 72"/>
        <s v="حفل تخريج الدفعة 73"/>
        <s v="حفل تخريج الدفعة 74"/>
        <s v="حفل تخريج الدفعة 75"/>
        <s v="حفل تخريج الدفعة 76"/>
        <s v="حفل تخريج الدفعة 77"/>
        <s v="حفل تخريج الدفعة 78"/>
      </sharedItems>
    </cacheField>
    <cacheField name="الجهة الحكومية" numFmtId="0">
      <sharedItems count="3">
        <s v="وزارة التعليم"/>
        <s v="وزارة الصحة"/>
        <s v="وزارة الشباب"/>
      </sharedItems>
    </cacheField>
    <cacheField name="المنطقة" numFmtId="0">
      <sharedItems count="3">
        <s v="الرياض"/>
        <s v="جدة"/>
        <s v="المدينة"/>
      </sharedItems>
    </cacheField>
    <cacheField name="رقم المناقصة" numFmtId="0">
      <sharedItems containsSemiMixedTypes="0" containsString="0" containsNumber="1" containsInteger="1" minValue="3423565232" maxValue="3423565232"/>
    </cacheField>
    <cacheField name="تفاصيل المناقصة" numFmtId="0">
      <sharedItems/>
    </cacheField>
    <cacheField name="تاريخ بداية التقديم" numFmtId="14">
      <sharedItems containsSemiMixedTypes="0" containsNonDate="0" containsDate="1" containsString="0" minDate="2024-01-11T00:00:00" maxDate="2025-09-30T00:00:00" count="12">
        <d v="2024-01-11T00:00:00"/>
        <d v="2024-11-11T00:00:00"/>
        <d v="2024-12-10T00:00:00"/>
        <d v="2025-09-29T00:00:00"/>
        <d v="2024-05-20T00:00:00"/>
        <d v="2024-01-15T00:00:00"/>
        <d v="2024-10-11T00:00:00"/>
        <d v="2024-01-18T00:00:00"/>
        <d v="2024-01-20T00:00:00"/>
        <d v="2024-08-10T00:00:00"/>
        <d v="2024-01-22T00:00:00"/>
        <d v="2024-09-20T00:00:00"/>
      </sharedItems>
      <fieldGroup par="16"/>
    </cacheField>
    <cacheField name="تاريخ انتهاء التقديم" numFmtId="14">
      <sharedItems containsSemiMixedTypes="0" containsNonDate="0" containsDate="1" containsString="0" minDate="2024-01-11T00:00:00" maxDate="2024-12-30T00:00:00"/>
    </cacheField>
    <cacheField name="قيمة الكراسة" numFmtId="0">
      <sharedItems containsSemiMixedTypes="0" containsString="0" containsNumber="1" minValue="500" maxValue="2000"/>
    </cacheField>
    <cacheField name="قيمة المشروع" numFmtId="0">
      <sharedItems containsSemiMixedTypes="0" containsString="0" containsNumber="1" containsInteger="1" minValue="500" maxValue="5000000"/>
    </cacheField>
    <cacheField name="حالة المشروع" numFmtId="0">
      <sharedItems/>
    </cacheField>
    <cacheField name="الفرق" numFmtId="0">
      <sharedItems containsSemiMixedTypes="0" containsString="0" containsNumber="1" minValue="-4074.7" maxValue="4996890.4000000004"/>
    </cacheField>
    <cacheField name="نسبة الربحية المتوقعة" numFmtId="0">
      <sharedItems containsSemiMixedTypes="0" containsString="0" containsNumber="1" minValue="0.19" maxValue="0.37"/>
    </cacheField>
    <cacheField name="قيمة الربح" numFmtId="0">
      <sharedItems containsSemiMixedTypes="0" containsString="0" containsNumber="1" minValue="141" maxValue="1750000"/>
    </cacheField>
    <cacheField name="قيمة العمولات" numFmtId="0">
      <sharedItems containsSemiMixedTypes="0" containsString="0" containsNumber="1" containsInteger="1" minValue="500" maxValue="500"/>
    </cacheField>
    <cacheField name="Months (تاريخ بداية التقديم)" numFmtId="0" databaseField="0">
      <fieldGroup base="5">
        <rangePr groupBy="months" startDate="2024-01-11T00:00:00" endDate="2025-09-30T00:00:00"/>
        <groupItems count="14">
          <s v="&lt;1/11/2024"/>
          <s v="Jan"/>
          <s v="Feb"/>
          <s v="Mar"/>
          <s v="Apr"/>
          <s v="May"/>
          <s v="Jun"/>
          <s v="Jul"/>
          <s v="Aug"/>
          <s v="Sep"/>
          <s v="Oct"/>
          <s v="Nov"/>
          <s v="Dec"/>
          <s v="&gt;9/30/2025"/>
        </groupItems>
      </fieldGroup>
    </cacheField>
    <cacheField name="Quarters (تاريخ بداية التقديم)" numFmtId="0" databaseField="0">
      <fieldGroup base="5">
        <rangePr groupBy="quarters" startDate="2024-01-11T00:00:00" endDate="2025-09-30T00:00:00"/>
        <groupItems count="6">
          <s v="&lt;1/11/2024"/>
          <s v="Qtr1"/>
          <s v="Qtr2"/>
          <s v="Qtr3"/>
          <s v="Qtr4"/>
          <s v="&gt;9/30/2025"/>
        </groupItems>
      </fieldGroup>
    </cacheField>
    <cacheField name="Years (تاريخ بداية التقديم)" numFmtId="0" databaseField="0">
      <fieldGroup base="5">
        <rangePr groupBy="years" startDate="2024-01-11T00:00:00" endDate="2025-09-30T00:00:00"/>
        <groupItems count="4">
          <s v="&lt;1/11/2024"/>
          <s v="2024"/>
          <s v="2025"/>
          <s v="&gt;9/30/2025"/>
        </groupItems>
      </fieldGroup>
    </cacheField>
    <cacheField name="=IF('قيمة المشروع' &gt; 500000, &quot;أعلى من 500,000&quot;, &quot;أقل من 500,000&quot;)" numFmtId="0" formula=" 0" databaseField="0"/>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622.849935879633" createdVersion="8" refreshedVersion="8" minRefreshableVersion="3" recordCount="15" xr:uid="{866C5839-5DA5-4A9C-856B-348AE413A4B8}">
  <cacheSource type="worksheet">
    <worksheetSource name="Table2"/>
  </cacheSource>
  <cacheFields count="16">
    <cacheField name="اسم المشروع" numFmtId="0">
      <sharedItems count="14">
        <s v="حفل تخريج الدفعة 65"/>
        <s v="حفل تخريج الدفعة 66"/>
        <s v="حفل تخريج الدفعة 67"/>
        <s v="حفل تخريج الدفعة 68"/>
        <s v="حفل تخريج الدفعة 69"/>
        <s v="حفل تخريج الدفعة 70"/>
        <s v="حفل تخريج الدفعة 71"/>
        <s v="حفل تخريج الدفعة 72"/>
        <s v="حفل تخريج الدفعة 73"/>
        <s v="حفل تخريج الدفعة 74"/>
        <s v="حفل تخريج الدفعة 75"/>
        <s v="حفل تخريج الدفعة 76"/>
        <s v="حفل تخريج الدفعة 77"/>
        <s v="حفل تخريج الدفعة 78"/>
      </sharedItems>
    </cacheField>
    <cacheField name="الجهة الحكومية" numFmtId="0">
      <sharedItems count="3">
        <s v="وزارة التعليم"/>
        <s v="وزارة الصحة"/>
        <s v="وزارة الشباب"/>
      </sharedItems>
    </cacheField>
    <cacheField name="المخرج" numFmtId="0">
      <sharedItems/>
    </cacheField>
    <cacheField name="الوحدة " numFmtId="3">
      <sharedItems/>
    </cacheField>
    <cacheField name="تكلفة الحبة اللواحدة" numFmtId="3">
      <sharedItems containsSemiMixedTypes="0" containsString="0" containsNumber="1" containsInteger="1" minValue="120" maxValue="350"/>
    </cacheField>
    <cacheField name="إجمالي التكاليف للحبة الواحدة" numFmtId="3">
      <sharedItems containsSemiMixedTypes="0" containsString="0" containsNumber="1" containsInteger="1" minValue="1560" maxValue="8750"/>
    </cacheField>
    <cacheField name="التكاليف  التشغيلية 20%" numFmtId="3">
      <sharedItems containsSemiMixedTypes="0" containsString="0" containsNumber="1" minValue="24" maxValue="70"/>
    </cacheField>
    <cacheField name="المخاطرة 10% ( تحسب تلقائيا )" numFmtId="3">
      <sharedItems containsSemiMixedTypes="0" containsString="0" containsNumber="1" minValue="12" maxValue="35"/>
    </cacheField>
    <cacheField name="إجمالي التكاليف" numFmtId="4">
      <sharedItems containsSemiMixedTypes="0" containsString="0" containsNumber="1" minValue="156" maxValue="455"/>
    </cacheField>
    <cacheField name="ضريبة المنتج الواحد" numFmtId="4">
      <sharedItems containsSemiMixedTypes="0" containsString="0" containsNumber="1" minValue="23.4" maxValue="68.25"/>
    </cacheField>
    <cacheField name="الإجمالي للبيع" numFmtId="4">
      <sharedItems containsSemiMixedTypes="0" containsString="0" containsNumber="1" minValue="179.4" maxValue="523.25"/>
    </cacheField>
    <cacheField name="الكمية" numFmtId="3">
      <sharedItems containsSemiMixedTypes="0" containsString="0" containsNumber="1" containsInteger="1" minValue="12" maxValue="25"/>
    </cacheField>
    <cacheField name="اجمالي بدون ضريبة" numFmtId="3">
      <sharedItems containsSemiMixedTypes="0" containsString="0" containsNumber="1" minValue="2028" maxValue="11375"/>
    </cacheField>
    <cacheField name="ضريبة" numFmtId="165">
      <sharedItems containsSemiMixedTypes="0" containsString="0" containsNumber="1" minValue="304.2" maxValue="1706.25"/>
    </cacheField>
    <cacheField name="الإجمالي مع الضريبة" numFmtId="4">
      <sharedItems containsSemiMixedTypes="0" containsString="0" containsNumber="1" minValue="2332.1999999999998" maxValue="13081.25"/>
    </cacheField>
    <cacheField name="اجمالي الربح" numFmtId="4">
      <sharedItems containsSemiMixedTypes="0" containsString="0" containsNumber="1" minValue="1848.6" maxValue="10851.7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633.856823148148" backgroundQuery="1" createdVersion="8" refreshedVersion="8" minRefreshableVersion="3" recordCount="0" supportSubquery="1" supportAdvancedDrill="1" xr:uid="{42C22CB9-A5E7-4D29-B5F7-912B14FE317E}">
  <cacheSource type="external" connectionId="1"/>
  <cacheFields count="6">
    <cacheField name="[Measures].[Sum of تكلفة الحبة اللواحدة]" caption="Sum of تكلفة الحبة اللواحدة" numFmtId="0" hierarchy="48" level="32767"/>
    <cacheField name="[Measures].[Sum of المخاطرة 10% ( تحسب تلقائيا )]" caption="Sum of المخاطرة 10% ( تحسب تلقائيا )" numFmtId="0" hierarchy="50" level="32767"/>
    <cacheField name="[Measures].[Sum of ضريبة المنتج الواحد]" caption="Sum of ضريبة المنتج الواحد" numFmtId="0" hierarchy="52" level="32767"/>
    <cacheField name="[Measures].[Sum of الإجمالي للبيع]" caption="Sum of الإجمالي للبيع" numFmtId="0" hierarchy="53" level="32767"/>
    <cacheField name="[Table1].[تاريخ بداية التقديم (Month)].[تاريخ بداية التقديم (Month)]" caption="تاريخ بداية التقديم (Month)" numFmtId="0" hierarchy="14" level="1">
      <sharedItems containsSemiMixedTypes="0" containsNonDate="0" containsString="0"/>
    </cacheField>
    <cacheField name="[Table1].[الجهة الحكومية].[الجهة الحكومية]" caption="الجهة الحكومية" numFmtId="0" hierarchy="1" level="1">
      <sharedItems containsSemiMixedTypes="0" containsNonDate="0" containsString="0"/>
    </cacheField>
  </cacheFields>
  <cacheHierarchies count="57">
    <cacheHierarchy uniqueName="[Table1].[اسم المشروع]" caption="اسم المشروع" attribute="1" defaultMemberUniqueName="[Table1].[اسم المشروع].[All]" allUniqueName="[Table1].[اسم المشروع].[All]" dimensionUniqueName="[Table1]" displayFolder="" count="2" memberValueDatatype="130" unbalanced="0"/>
    <cacheHierarchy uniqueName="[Table1].[الجهة الحكومية]" caption="الجهة الحكومية" attribute="1" defaultMemberUniqueName="[Table1].[الجهة الحكومية].[All]" allUniqueName="[Table1].[الجهة الحكومية].[All]" dimensionUniqueName="[Table1]" displayFolder="" count="2" memberValueDatatype="130" unbalanced="0">
      <fieldsUsage count="2">
        <fieldUsage x="-1"/>
        <fieldUsage x="5"/>
      </fieldsUsage>
    </cacheHierarchy>
    <cacheHierarchy uniqueName="[Table1].[المنطقة]" caption="المنطقة" attribute="1" defaultMemberUniqueName="[Table1].[المنطقة].[All]" allUniqueName="[Table1].[المنطقة].[All]" dimensionUniqueName="[Table1]" displayFolder="" count="0" memberValueDatatype="130" unbalanced="0"/>
    <cacheHierarchy uniqueName="[Table1].[رقم المناقصة]" caption="رقم المناقصة" attribute="1" defaultMemberUniqueName="[Table1].[رقم المناقصة].[All]" allUniqueName="[Table1].[رقم المناقصة].[All]" dimensionUniqueName="[Table1]" displayFolder="" count="0" memberValueDatatype="5" unbalanced="0"/>
    <cacheHierarchy uniqueName="[Table1].[تفاصيل المناقصة]" caption="تفاصيل المناقصة" attribute="1" defaultMemberUniqueName="[Table1].[تفاصيل المناقصة].[All]" allUniqueName="[Table1].[تفاصيل المناقصة].[All]" dimensionUniqueName="[Table1]" displayFolder="" count="0" memberValueDatatype="130" unbalanced="0"/>
    <cacheHierarchy uniqueName="[Table1].[تاريخ بداية التقديم]" caption="تاريخ بداية التقديم" attribute="1" time="1" defaultMemberUniqueName="[Table1].[تاريخ بداية التقديم].[All]" allUniqueName="[Table1].[تاريخ بداية التقديم].[All]" dimensionUniqueName="[Table1]" displayFolder="" count="0" memberValueDatatype="7" unbalanced="0"/>
    <cacheHierarchy uniqueName="[Table1].[تاريخ انتهاء التقديم]" caption="تاريخ انتهاء التقديم" attribute="1" time="1" defaultMemberUniqueName="[Table1].[تاريخ انتهاء التقديم].[All]" allUniqueName="[Table1].[تاريخ انتهاء التقديم].[All]" dimensionUniqueName="[Table1]" displayFolder="" count="0" memberValueDatatype="7" unbalanced="0"/>
    <cacheHierarchy uniqueName="[Table1].[قيمة الكراسة]" caption="قيمة الكراسة" attribute="1" defaultMemberUniqueName="[Table1].[قيمة الكراسة].[All]" allUniqueName="[Table1].[قيمة الكراسة].[All]" dimensionUniqueName="[Table1]" displayFolder="" count="0" memberValueDatatype="5" unbalanced="0"/>
    <cacheHierarchy uniqueName="[Table1].[قيمة المشروع]" caption="قيمة المشروع" attribute="1" defaultMemberUniqueName="[Table1].[قيمة المشروع].[All]" allUniqueName="[Table1].[قيمة المشروع].[All]" dimensionUniqueName="[Table1]" displayFolder="" count="0" memberValueDatatype="20" unbalanced="0"/>
    <cacheHierarchy uniqueName="[Table1].[حالة المشروع]" caption="حالة المشروع" attribute="1" defaultMemberUniqueName="[Table1].[حالة المشروع].[All]" allUniqueName="[Table1].[حالة المشروع].[All]" dimensionUniqueName="[Table1]" displayFolder="" count="0" memberValueDatatype="130" unbalanced="0"/>
    <cacheHierarchy uniqueName="[Table1].[الفرق]" caption="الفرق" attribute="1" defaultMemberUniqueName="[Table1].[الفرق].[All]" allUniqueName="[Table1].[الفرق].[All]" dimensionUniqueName="[Table1]" displayFolder="" count="0" memberValueDatatype="5" unbalanced="0"/>
    <cacheHierarchy uniqueName="[Table1].[نسبة الربحية المتوقعة]" caption="نسبة الربحية المتوقعة" attribute="1" defaultMemberUniqueName="[Table1].[نسبة الربحية المتوقعة].[All]" allUniqueName="[Table1].[نسبة الربحية المتوقعة].[All]" dimensionUniqueName="[Table1]" displayFolder="" count="0" memberValueDatatype="5" unbalanced="0"/>
    <cacheHierarchy uniqueName="[Table1].[تاريخ بداية التقديم (Year)]" caption="تاريخ بداية التقديم (Year)" attribute="1" defaultMemberUniqueName="[Table1].[تاريخ بداية التقديم (Year)].[All]" allUniqueName="[Table1].[تاريخ بداية التقديم (Year)].[All]" dimensionUniqueName="[Table1]" displayFolder="" count="2" memberValueDatatype="130" unbalanced="0"/>
    <cacheHierarchy uniqueName="[Table1].[تاريخ بداية التقديم (Quarter)]" caption="تاريخ بداية التقديم (Quarter)" attribute="1" defaultMemberUniqueName="[Table1].[تاريخ بداية التقديم (Quarter)].[All]" allUniqueName="[Table1].[تاريخ بداية التقديم (Quarter)].[All]" dimensionUniqueName="[Table1]" displayFolder="" count="0" memberValueDatatype="130" unbalanced="0"/>
    <cacheHierarchy uniqueName="[Table1].[تاريخ بداية التقديم (Month)]" caption="تاريخ بداية التقديم (Month)" attribute="1" defaultMemberUniqueName="[Table1].[تاريخ بداية التقديم (Month)].[All]" allUniqueName="[Table1].[تاريخ بداية التقديم (Month)].[All]" dimensionUniqueName="[Table1]" displayFolder="" count="2" memberValueDatatype="130" unbalanced="0">
      <fieldsUsage count="2">
        <fieldUsage x="-1"/>
        <fieldUsage x="4"/>
      </fieldsUsage>
    </cacheHierarchy>
    <cacheHierarchy uniqueName="[Table1].[قيمة الربح]" caption="قيمة الربح" attribute="1" defaultMemberUniqueName="[Table1].[قيمة الربح].[All]" allUniqueName="[Table1].[قيمة الربح].[All]" dimensionUniqueName="[Table1]" displayFolder="" count="0" memberValueDatatype="5" unbalanced="0"/>
    <cacheHierarchy uniqueName="[Table1].[قيمة العمولات]" caption="قيمة العمولات" attribute="1" defaultMemberUniqueName="[Table1].[قيمة العمولات].[All]" allUniqueName="[Table1].[قيمة العمولات].[All]" dimensionUniqueName="[Table1]" displayFolder="" count="0" memberValueDatatype="20" unbalanced="0"/>
    <cacheHierarchy uniqueName="[Table2].[اسم المشروع]" caption="اسم المشروع" attribute="1" defaultMemberUniqueName="[Table2].[اسم المشروع].[All]" allUniqueName="[Table2].[اسم المشروع].[All]" dimensionUniqueName="[Table2]" displayFolder="" count="0" memberValueDatatype="130" unbalanced="0"/>
    <cacheHierarchy uniqueName="[Table2].[الجهة الحكومية]" caption="الجهة الحكومية" attribute="1" defaultMemberUniqueName="[Table2].[الجهة الحكومية].[All]" allUniqueName="[Table2].[الجهة الحكومية].[All]" dimensionUniqueName="[Table2]" displayFolder="" count="0" memberValueDatatype="130" unbalanced="0"/>
    <cacheHierarchy uniqueName="[Table2].[المخرج]" caption="المخرج" attribute="1" defaultMemberUniqueName="[Table2].[المخرج].[All]" allUniqueName="[Table2].[المخرج].[All]" dimensionUniqueName="[Table2]" displayFolder="" count="0" memberValueDatatype="130" unbalanced="0"/>
    <cacheHierarchy uniqueName="[Table2].[الوحدة]" caption="الوحدة" attribute="1" defaultMemberUniqueName="[Table2].[الوحدة].[All]" allUniqueName="[Table2].[الوحدة].[All]" dimensionUniqueName="[Table2]" displayFolder="" count="0" memberValueDatatype="130" unbalanced="0"/>
    <cacheHierarchy uniqueName="[Table2].[تكلفة الحبة اللواحدة]" caption="تكلفة الحبة اللواحدة" attribute="1" defaultMemberUniqueName="[Table2].[تكلفة الحبة اللواحدة].[All]" allUniqueName="[Table2].[تكلفة الحبة اللواحدة].[All]" dimensionUniqueName="[Table2]" displayFolder="" count="0" memberValueDatatype="20" unbalanced="0"/>
    <cacheHierarchy uniqueName="[Table2].[إجمالي التكاليف للحبة الواحدة]" caption="إجمالي التكاليف للحبة الواحدة" attribute="1" defaultMemberUniqueName="[Table2].[إجمالي التكاليف للحبة الواحدة].[All]" allUniqueName="[Table2].[إجمالي التكاليف للحبة الواحدة].[All]" dimensionUniqueName="[Table2]" displayFolder="" count="0" memberValueDatatype="20" unbalanced="0"/>
    <cacheHierarchy uniqueName="[Table2].[التكاليف  التشغيلية 20%]" caption="التكاليف  التشغيلية 20%" attribute="1" defaultMemberUniqueName="[Table2].[التكاليف  التشغيلية 20%].[All]" allUniqueName="[Table2].[التكاليف  التشغيلية 20%].[All]" dimensionUniqueName="[Table2]" displayFolder="" count="0" memberValueDatatype="5" unbalanced="0"/>
    <cacheHierarchy uniqueName="[Table2].[المخاطرة 10% ( تحسب تلقائيا )]" caption="المخاطرة 10% ( تحسب تلقائيا )" attribute="1" defaultMemberUniqueName="[Table2].[المخاطرة 10% ( تحسب تلقائيا )].[All]" allUniqueName="[Table2].[المخاطرة 10% ( تحسب تلقائيا )].[All]" dimensionUniqueName="[Table2]" displayFolder="" count="0" memberValueDatatype="5" unbalanced="0"/>
    <cacheHierarchy uniqueName="[Table2].[إجمالي التكاليف]" caption="إجمالي التكاليف" attribute="1" defaultMemberUniqueName="[Table2].[إجمالي التكاليف].[All]" allUniqueName="[Table2].[إجمالي التكاليف].[All]" dimensionUniqueName="[Table2]" displayFolder="" count="0" memberValueDatatype="5" unbalanced="0"/>
    <cacheHierarchy uniqueName="[Table2].[ضريبة المنتج الواحد]" caption="ضريبة المنتج الواحد" attribute="1" defaultMemberUniqueName="[Table2].[ضريبة المنتج الواحد].[All]" allUniqueName="[Table2].[ضريبة المنتج الواحد].[All]" dimensionUniqueName="[Table2]" displayFolder="" count="0" memberValueDatatype="5" unbalanced="0"/>
    <cacheHierarchy uniqueName="[Table2].[الإجمالي للبيع]" caption="الإجمالي للبيع" attribute="1" defaultMemberUniqueName="[Table2].[الإجمالي للبيع].[All]" allUniqueName="[Table2].[الإجمالي للبيع].[All]" dimensionUniqueName="[Table2]" displayFolder="" count="0" memberValueDatatype="5" unbalanced="0"/>
    <cacheHierarchy uniqueName="[Table2].[الكمية]" caption="الكمية" attribute="1" defaultMemberUniqueName="[Table2].[الكمية].[All]" allUniqueName="[Table2].[الكمية].[All]" dimensionUniqueName="[Table2]" displayFolder="" count="0" memberValueDatatype="20" unbalanced="0"/>
    <cacheHierarchy uniqueName="[Table2].[اجمالي بدون ضريبة]" caption="اجمالي بدون ضريبة" attribute="1" defaultMemberUniqueName="[Table2].[اجمالي بدون ضريبة].[All]" allUniqueName="[Table2].[اجمالي بدون ضريبة].[All]" dimensionUniqueName="[Table2]" displayFolder="" count="0" memberValueDatatype="5" unbalanced="0"/>
    <cacheHierarchy uniqueName="[Table2].[ضريبة]" caption="ضريبة" attribute="1" defaultMemberUniqueName="[Table2].[ضريبة].[All]" allUniqueName="[Table2].[ضريبة].[All]" dimensionUniqueName="[Table2]" displayFolder="" count="0" memberValueDatatype="5" unbalanced="0"/>
    <cacheHierarchy uniqueName="[Table2].[الإجمالي مع الضريبة]" caption="الإجمالي مع الضريبة" attribute="1" defaultMemberUniqueName="[Table2].[الإجمالي مع الضريبة].[All]" allUniqueName="[Table2].[الإجمالي مع الضريبة].[All]" dimensionUniqueName="[Table2]" displayFolder="" count="0" memberValueDatatype="5" unbalanced="0"/>
    <cacheHierarchy uniqueName="[Table2].[اجمالي الربح]" caption="اجمالي الربح" attribute="1" defaultMemberUniqueName="[Table2].[اجمالي الربح].[All]" allUniqueName="[Table2].[اجمالي الربح].[All]" dimensionUniqueName="[Table2]" displayFolder="" count="0" memberValueDatatype="5" unbalanced="0"/>
    <cacheHierarchy uniqueName="[Table1].[تاريخ بداية التقديم (Month Index)]" caption="تاريخ بداية التقديم (Month Index)" attribute="1" defaultMemberUniqueName="[Table1].[تاريخ بداية التقديم (Month Index)].[All]" allUniqueName="[Table1].[تاريخ بداية التقديم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تاريخ بداية التقديم]" caption="Count of تاريخ بداية التقديم" measure="1" displayFolder="" measureGroup="Table1" count="0" hidden="1">
      <extLst>
        <ext xmlns:x15="http://schemas.microsoft.com/office/spreadsheetml/2010/11/main" uri="{B97F6D7D-B522-45F9-BDA1-12C45D357490}">
          <x15:cacheHierarchy aggregatedColumn="5"/>
        </ext>
      </extLst>
    </cacheHierarchy>
    <cacheHierarchy uniqueName="[Measures].[Count of اسم المشروع]" caption="Count of اسم المشروع" measure="1" displayFolder="" measureGroup="Table1" count="0" hidden="1">
      <extLst>
        <ext xmlns:x15="http://schemas.microsoft.com/office/spreadsheetml/2010/11/main" uri="{B97F6D7D-B522-45F9-BDA1-12C45D357490}">
          <x15:cacheHierarchy aggregatedColumn="0"/>
        </ext>
      </extLst>
    </cacheHierarchy>
    <cacheHierarchy uniqueName="[Measures].[Count of الجهة الحكومية]" caption="Count of الجهة الحكومية" measure="1" displayFolder="" measureGroup="Table2" count="0" hidden="1">
      <extLst>
        <ext xmlns:x15="http://schemas.microsoft.com/office/spreadsheetml/2010/11/main" uri="{B97F6D7D-B522-45F9-BDA1-12C45D357490}">
          <x15:cacheHierarchy aggregatedColumn="18"/>
        </ext>
      </extLst>
    </cacheHierarchy>
    <cacheHierarchy uniqueName="[Measures].[Distinct Count of الجهة الحكومية]" caption="Distinct Count of الجهة الحكومية" measure="1" displayFolder="" measureGroup="Table2" count="0" hidden="1">
      <extLst>
        <ext xmlns:x15="http://schemas.microsoft.com/office/spreadsheetml/2010/11/main" uri="{B97F6D7D-B522-45F9-BDA1-12C45D357490}">
          <x15:cacheHierarchy aggregatedColumn="18"/>
        </ext>
      </extLst>
    </cacheHierarchy>
    <cacheHierarchy uniqueName="[Measures].[Sum of قيمة المشروع]" caption="Sum of قيمة المشروع" measure="1" displayFolder="" measureGroup="Table1" count="0" hidden="1">
      <extLst>
        <ext xmlns:x15="http://schemas.microsoft.com/office/spreadsheetml/2010/11/main" uri="{B97F6D7D-B522-45F9-BDA1-12C45D357490}">
          <x15:cacheHierarchy aggregatedColumn="8"/>
        </ext>
      </extLst>
    </cacheHierarchy>
    <cacheHierarchy uniqueName="[Measures].[Sum of نسبة الربحية المتوقعة]" caption="Sum of نسبة الربحية المتوقعة" measure="1" displayFolder="" measureGroup="Table1" count="0" hidden="1">
      <extLst>
        <ext xmlns:x15="http://schemas.microsoft.com/office/spreadsheetml/2010/11/main" uri="{B97F6D7D-B522-45F9-BDA1-12C45D357490}">
          <x15:cacheHierarchy aggregatedColumn="11"/>
        </ext>
      </extLst>
    </cacheHierarchy>
    <cacheHierarchy uniqueName="[Measures].[Sum of الكمية]" caption="Sum of الكمية" measure="1" displayFolder="" measureGroup="Table2" count="0" hidden="1">
      <extLst>
        <ext xmlns:x15="http://schemas.microsoft.com/office/spreadsheetml/2010/11/main" uri="{B97F6D7D-B522-45F9-BDA1-12C45D357490}">
          <x15:cacheHierarchy aggregatedColumn="28"/>
        </ext>
      </extLst>
    </cacheHierarchy>
    <cacheHierarchy uniqueName="[Measures].[Sum of اجمالي بدون ضريبة]" caption="Sum of اجمالي بدون ضريبة" measure="1" displayFolder="" measureGroup="Table2" count="0" hidden="1">
      <extLst>
        <ext xmlns:x15="http://schemas.microsoft.com/office/spreadsheetml/2010/11/main" uri="{B97F6D7D-B522-45F9-BDA1-12C45D357490}">
          <x15:cacheHierarchy aggregatedColumn="29"/>
        </ext>
      </extLst>
    </cacheHierarchy>
    <cacheHierarchy uniqueName="[Measures].[Sum of ضريبة]" caption="Sum of ضريبة" measure="1" displayFolder="" measureGroup="Table2" count="0" hidden="1">
      <extLst>
        <ext xmlns:x15="http://schemas.microsoft.com/office/spreadsheetml/2010/11/main" uri="{B97F6D7D-B522-45F9-BDA1-12C45D357490}">
          <x15:cacheHierarchy aggregatedColumn="30"/>
        </ext>
      </extLst>
    </cacheHierarchy>
    <cacheHierarchy uniqueName="[Measures].[Sum of الإجمالي مع الضريبة]" caption="Sum of الإجمالي مع الضريبة" measure="1" displayFolder="" measureGroup="Table2" count="0" hidden="1">
      <extLst>
        <ext xmlns:x15="http://schemas.microsoft.com/office/spreadsheetml/2010/11/main" uri="{B97F6D7D-B522-45F9-BDA1-12C45D357490}">
          <x15:cacheHierarchy aggregatedColumn="31"/>
        </ext>
      </extLst>
    </cacheHierarchy>
    <cacheHierarchy uniqueName="[Measures].[Sum of اجمالي الربح]" caption="Sum of اجمالي الربح" measure="1" displayFolder="" measureGroup="Table2" count="0" hidden="1">
      <extLst>
        <ext xmlns:x15="http://schemas.microsoft.com/office/spreadsheetml/2010/11/main" uri="{B97F6D7D-B522-45F9-BDA1-12C45D357490}">
          <x15:cacheHierarchy aggregatedColumn="32"/>
        </ext>
      </extLst>
    </cacheHierarchy>
    <cacheHierarchy uniqueName="[Measures].[Sum of تكلفة الحبة اللواحدة]" caption="Sum of تكلفة الحبة اللواحدة" measure="1" displayFolder="" measureGroup="Table2"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التكاليف  التشغيلية 20%]" caption="Sum of التكاليف  التشغيلية 20%" measure="1" displayFolder="" measureGroup="Table2" count="0" hidden="1"/>
    <cacheHierarchy uniqueName="[Measures].[Sum of المخاطرة 10% ( تحسب تلقائيا )]" caption="Sum of المخاطرة 10% ( تحسب تلقائيا )" measure="1" displayFolder="" measureGroup="Table2"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إجمالي التكاليف]" caption="Sum of إجمالي التكاليف" measure="1" displayFolder="" measureGroup="Table2" count="0" hidden="1"/>
    <cacheHierarchy uniqueName="[Measures].[Sum of ضريبة المنتج الواحد]" caption="Sum of ضريبة المنتج الواحد" measure="1" displayFolder="" measureGroup="Table2" count="0" oneField="1" hidden="1">
      <fieldsUsage count="1">
        <fieldUsage x="2"/>
      </fieldsUsage>
      <extLst>
        <ext xmlns:x15="http://schemas.microsoft.com/office/spreadsheetml/2010/11/main" uri="{B97F6D7D-B522-45F9-BDA1-12C45D357490}">
          <x15:cacheHierarchy aggregatedColumn="26"/>
        </ext>
      </extLst>
    </cacheHierarchy>
    <cacheHierarchy uniqueName="[Measures].[Sum of الإجمالي للبيع]" caption="Sum of الإجمالي للبيع" measure="1" displayFolder="" measureGroup="Table2" count="0" oneField="1" hidden="1">
      <fieldsUsage count="1">
        <fieldUsage x="3"/>
      </fieldsUsage>
      <extLst>
        <ext xmlns:x15="http://schemas.microsoft.com/office/spreadsheetml/2010/11/main" uri="{B97F6D7D-B522-45F9-BDA1-12C45D357490}">
          <x15:cacheHierarchy aggregatedColumn="27"/>
        </ext>
      </extLst>
    </cacheHierarchy>
    <cacheHierarchy uniqueName="[Measures].[Distinct Count of اسم المشروع]" caption="Distinct Count of اسم المشروع" measure="1" displayFolder="" measureGroup="Table1" count="0" hidden="1">
      <extLst>
        <ext xmlns:x15="http://schemas.microsoft.com/office/spreadsheetml/2010/11/main" uri="{B97F6D7D-B522-45F9-BDA1-12C45D357490}">
          <x15:cacheHierarchy aggregatedColumn="0"/>
        </ext>
      </extLst>
    </cacheHierarchy>
    <cacheHierarchy uniqueName="[Measures].[Count of حالة المشروع]" caption="Count of حالة المشروع" measure="1" displayFolder="" measureGroup="Table1" count="0" hidden="1">
      <extLst>
        <ext xmlns:x15="http://schemas.microsoft.com/office/spreadsheetml/2010/11/main" uri="{B97F6D7D-B522-45F9-BDA1-12C45D357490}">
          <x15:cacheHierarchy aggregatedColumn="9"/>
        </ext>
      </extLst>
    </cacheHierarchy>
    <cacheHierarchy uniqueName="[Measures].[Sum of قيمة الكراسة]" caption="Sum of قيمة الكراسة" measure="1" displayFolder="" measureGroup="Table1" count="0" hidden="1">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633.856828240743" backgroundQuery="1" createdVersion="8" refreshedVersion="8" minRefreshableVersion="3" recordCount="0" supportSubquery="1" supportAdvancedDrill="1" xr:uid="{A5A9E412-2C25-440B-B585-B6A8846779C9}">
  <cacheSource type="external" connectionId="1"/>
  <cacheFields count="7">
    <cacheField name="[Measures].[Sum of الكمية]" caption="Sum of الكمية" numFmtId="0" hierarchy="43" level="32767"/>
    <cacheField name="[Measures].[Sum of اجمالي بدون ضريبة]" caption="Sum of اجمالي بدون ضريبة" numFmtId="0" hierarchy="44" level="32767"/>
    <cacheField name="[Measures].[Sum of ضريبة]" caption="Sum of ضريبة" numFmtId="0" hierarchy="45" level="32767"/>
    <cacheField name="[Measures].[Sum of الإجمالي مع الضريبة]" caption="Sum of الإجمالي مع الضريبة" numFmtId="0" hierarchy="46" level="32767"/>
    <cacheField name="[Measures].[Sum of اجمالي الربح]" caption="Sum of اجمالي الربح" numFmtId="0" hierarchy="47" level="32767"/>
    <cacheField name="[Table1].[تاريخ بداية التقديم (Month)].[تاريخ بداية التقديم (Month)]" caption="تاريخ بداية التقديم (Month)" numFmtId="0" hierarchy="14" level="1">
      <sharedItems containsSemiMixedTypes="0" containsNonDate="0" containsString="0"/>
    </cacheField>
    <cacheField name="[Table1].[الجهة الحكومية].[الجهة الحكومية]" caption="الجهة الحكومية" numFmtId="0" hierarchy="1" level="1">
      <sharedItems containsSemiMixedTypes="0" containsNonDate="0" containsString="0"/>
    </cacheField>
  </cacheFields>
  <cacheHierarchies count="57">
    <cacheHierarchy uniqueName="[Table1].[اسم المشروع]" caption="اسم المشروع" attribute="1" defaultMemberUniqueName="[Table1].[اسم المشروع].[All]" allUniqueName="[Table1].[اسم المشروع].[All]" dimensionUniqueName="[Table1]" displayFolder="" count="2" memberValueDatatype="130" unbalanced="0"/>
    <cacheHierarchy uniqueName="[Table1].[الجهة الحكومية]" caption="الجهة الحكومية" attribute="1" defaultMemberUniqueName="[Table1].[الجهة الحكومية].[All]" allUniqueName="[Table1].[الجهة الحكومية].[All]" dimensionUniqueName="[Table1]" displayFolder="" count="2" memberValueDatatype="130" unbalanced="0">
      <fieldsUsage count="2">
        <fieldUsage x="-1"/>
        <fieldUsage x="6"/>
      </fieldsUsage>
    </cacheHierarchy>
    <cacheHierarchy uniqueName="[Table1].[المنطقة]" caption="المنطقة" attribute="1" defaultMemberUniqueName="[Table1].[المنطقة].[All]" allUniqueName="[Table1].[المنطقة].[All]" dimensionUniqueName="[Table1]" displayFolder="" count="0" memberValueDatatype="130" unbalanced="0"/>
    <cacheHierarchy uniqueName="[Table1].[رقم المناقصة]" caption="رقم المناقصة" attribute="1" defaultMemberUniqueName="[Table1].[رقم المناقصة].[All]" allUniqueName="[Table1].[رقم المناقصة].[All]" dimensionUniqueName="[Table1]" displayFolder="" count="0" memberValueDatatype="5" unbalanced="0"/>
    <cacheHierarchy uniqueName="[Table1].[تفاصيل المناقصة]" caption="تفاصيل المناقصة" attribute="1" defaultMemberUniqueName="[Table1].[تفاصيل المناقصة].[All]" allUniqueName="[Table1].[تفاصيل المناقصة].[All]" dimensionUniqueName="[Table1]" displayFolder="" count="0" memberValueDatatype="130" unbalanced="0"/>
    <cacheHierarchy uniqueName="[Table1].[تاريخ بداية التقديم]" caption="تاريخ بداية التقديم" attribute="1" time="1" defaultMemberUniqueName="[Table1].[تاريخ بداية التقديم].[All]" allUniqueName="[Table1].[تاريخ بداية التقديم].[All]" dimensionUniqueName="[Table1]" displayFolder="" count="0" memberValueDatatype="7" unbalanced="0"/>
    <cacheHierarchy uniqueName="[Table1].[تاريخ انتهاء التقديم]" caption="تاريخ انتهاء التقديم" attribute="1" time="1" defaultMemberUniqueName="[Table1].[تاريخ انتهاء التقديم].[All]" allUniqueName="[Table1].[تاريخ انتهاء التقديم].[All]" dimensionUniqueName="[Table1]" displayFolder="" count="0" memberValueDatatype="7" unbalanced="0"/>
    <cacheHierarchy uniqueName="[Table1].[قيمة الكراسة]" caption="قيمة الكراسة" attribute="1" defaultMemberUniqueName="[Table1].[قيمة الكراسة].[All]" allUniqueName="[Table1].[قيمة الكراسة].[All]" dimensionUniqueName="[Table1]" displayFolder="" count="0" memberValueDatatype="5" unbalanced="0"/>
    <cacheHierarchy uniqueName="[Table1].[قيمة المشروع]" caption="قيمة المشروع" attribute="1" defaultMemberUniqueName="[Table1].[قيمة المشروع].[All]" allUniqueName="[Table1].[قيمة المشروع].[All]" dimensionUniqueName="[Table1]" displayFolder="" count="0" memberValueDatatype="20" unbalanced="0"/>
    <cacheHierarchy uniqueName="[Table1].[حالة المشروع]" caption="حالة المشروع" attribute="1" defaultMemberUniqueName="[Table1].[حالة المشروع].[All]" allUniqueName="[Table1].[حالة المشروع].[All]" dimensionUniqueName="[Table1]" displayFolder="" count="0" memberValueDatatype="130" unbalanced="0"/>
    <cacheHierarchy uniqueName="[Table1].[الفرق]" caption="الفرق" attribute="1" defaultMemberUniqueName="[Table1].[الفرق].[All]" allUniqueName="[Table1].[الفرق].[All]" dimensionUniqueName="[Table1]" displayFolder="" count="0" memberValueDatatype="5" unbalanced="0"/>
    <cacheHierarchy uniqueName="[Table1].[نسبة الربحية المتوقعة]" caption="نسبة الربحية المتوقعة" attribute="1" defaultMemberUniqueName="[Table1].[نسبة الربحية المتوقعة].[All]" allUniqueName="[Table1].[نسبة الربحية المتوقعة].[All]" dimensionUniqueName="[Table1]" displayFolder="" count="0" memberValueDatatype="5" unbalanced="0"/>
    <cacheHierarchy uniqueName="[Table1].[تاريخ بداية التقديم (Year)]" caption="تاريخ بداية التقديم (Year)" attribute="1" defaultMemberUniqueName="[Table1].[تاريخ بداية التقديم (Year)].[All]" allUniqueName="[Table1].[تاريخ بداية التقديم (Year)].[All]" dimensionUniqueName="[Table1]" displayFolder="" count="2" memberValueDatatype="130" unbalanced="0"/>
    <cacheHierarchy uniqueName="[Table1].[تاريخ بداية التقديم (Quarter)]" caption="تاريخ بداية التقديم (Quarter)" attribute="1" defaultMemberUniqueName="[Table1].[تاريخ بداية التقديم (Quarter)].[All]" allUniqueName="[Table1].[تاريخ بداية التقديم (Quarter)].[All]" dimensionUniqueName="[Table1]" displayFolder="" count="0" memberValueDatatype="130" unbalanced="0"/>
    <cacheHierarchy uniqueName="[Table1].[تاريخ بداية التقديم (Month)]" caption="تاريخ بداية التقديم (Month)" attribute="1" defaultMemberUniqueName="[Table1].[تاريخ بداية التقديم (Month)].[All]" allUniqueName="[Table1].[تاريخ بداية التقديم (Month)].[All]" dimensionUniqueName="[Table1]" displayFolder="" count="2" memberValueDatatype="130" unbalanced="0">
      <fieldsUsage count="2">
        <fieldUsage x="-1"/>
        <fieldUsage x="5"/>
      </fieldsUsage>
    </cacheHierarchy>
    <cacheHierarchy uniqueName="[Table1].[قيمة الربح]" caption="قيمة الربح" attribute="1" defaultMemberUniqueName="[Table1].[قيمة الربح].[All]" allUniqueName="[Table1].[قيمة الربح].[All]" dimensionUniqueName="[Table1]" displayFolder="" count="0" memberValueDatatype="5" unbalanced="0"/>
    <cacheHierarchy uniqueName="[Table1].[قيمة العمولات]" caption="قيمة العمولات" attribute="1" defaultMemberUniqueName="[Table1].[قيمة العمولات].[All]" allUniqueName="[Table1].[قيمة العمولات].[All]" dimensionUniqueName="[Table1]" displayFolder="" count="0" memberValueDatatype="20" unbalanced="0"/>
    <cacheHierarchy uniqueName="[Table2].[اسم المشروع]" caption="اسم المشروع" attribute="1" defaultMemberUniqueName="[Table2].[اسم المشروع].[All]" allUniqueName="[Table2].[اسم المشروع].[All]" dimensionUniqueName="[Table2]" displayFolder="" count="0" memberValueDatatype="130" unbalanced="0"/>
    <cacheHierarchy uniqueName="[Table2].[الجهة الحكومية]" caption="الجهة الحكومية" attribute="1" defaultMemberUniqueName="[Table2].[الجهة الحكومية].[All]" allUniqueName="[Table2].[الجهة الحكومية].[All]" dimensionUniqueName="[Table2]" displayFolder="" count="0" memberValueDatatype="130" unbalanced="0"/>
    <cacheHierarchy uniqueName="[Table2].[المخرج]" caption="المخرج" attribute="1" defaultMemberUniqueName="[Table2].[المخرج].[All]" allUniqueName="[Table2].[المخرج].[All]" dimensionUniqueName="[Table2]" displayFolder="" count="0" memberValueDatatype="130" unbalanced="0"/>
    <cacheHierarchy uniqueName="[Table2].[الوحدة]" caption="الوحدة" attribute="1" defaultMemberUniqueName="[Table2].[الوحدة].[All]" allUniqueName="[Table2].[الوحدة].[All]" dimensionUniqueName="[Table2]" displayFolder="" count="0" memberValueDatatype="130" unbalanced="0"/>
    <cacheHierarchy uniqueName="[Table2].[تكلفة الحبة اللواحدة]" caption="تكلفة الحبة اللواحدة" attribute="1" defaultMemberUniqueName="[Table2].[تكلفة الحبة اللواحدة].[All]" allUniqueName="[Table2].[تكلفة الحبة اللواحدة].[All]" dimensionUniqueName="[Table2]" displayFolder="" count="0" memberValueDatatype="20" unbalanced="0"/>
    <cacheHierarchy uniqueName="[Table2].[إجمالي التكاليف للحبة الواحدة]" caption="إجمالي التكاليف للحبة الواحدة" attribute="1" defaultMemberUniqueName="[Table2].[إجمالي التكاليف للحبة الواحدة].[All]" allUniqueName="[Table2].[إجمالي التكاليف للحبة الواحدة].[All]" dimensionUniqueName="[Table2]" displayFolder="" count="0" memberValueDatatype="20" unbalanced="0"/>
    <cacheHierarchy uniqueName="[Table2].[التكاليف  التشغيلية 20%]" caption="التكاليف  التشغيلية 20%" attribute="1" defaultMemberUniqueName="[Table2].[التكاليف  التشغيلية 20%].[All]" allUniqueName="[Table2].[التكاليف  التشغيلية 20%].[All]" dimensionUniqueName="[Table2]" displayFolder="" count="0" memberValueDatatype="5" unbalanced="0"/>
    <cacheHierarchy uniqueName="[Table2].[المخاطرة 10% ( تحسب تلقائيا )]" caption="المخاطرة 10% ( تحسب تلقائيا )" attribute="1" defaultMemberUniqueName="[Table2].[المخاطرة 10% ( تحسب تلقائيا )].[All]" allUniqueName="[Table2].[المخاطرة 10% ( تحسب تلقائيا )].[All]" dimensionUniqueName="[Table2]" displayFolder="" count="0" memberValueDatatype="5" unbalanced="0"/>
    <cacheHierarchy uniqueName="[Table2].[إجمالي التكاليف]" caption="إجمالي التكاليف" attribute="1" defaultMemberUniqueName="[Table2].[إجمالي التكاليف].[All]" allUniqueName="[Table2].[إجمالي التكاليف].[All]" dimensionUniqueName="[Table2]" displayFolder="" count="0" memberValueDatatype="5" unbalanced="0"/>
    <cacheHierarchy uniqueName="[Table2].[ضريبة المنتج الواحد]" caption="ضريبة المنتج الواحد" attribute="1" defaultMemberUniqueName="[Table2].[ضريبة المنتج الواحد].[All]" allUniqueName="[Table2].[ضريبة المنتج الواحد].[All]" dimensionUniqueName="[Table2]" displayFolder="" count="0" memberValueDatatype="5" unbalanced="0"/>
    <cacheHierarchy uniqueName="[Table2].[الإجمالي للبيع]" caption="الإجمالي للبيع" attribute="1" defaultMemberUniqueName="[Table2].[الإجمالي للبيع].[All]" allUniqueName="[Table2].[الإجمالي للبيع].[All]" dimensionUniqueName="[Table2]" displayFolder="" count="0" memberValueDatatype="5" unbalanced="0"/>
    <cacheHierarchy uniqueName="[Table2].[الكمية]" caption="الكمية" attribute="1" defaultMemberUniqueName="[Table2].[الكمية].[All]" allUniqueName="[Table2].[الكمية].[All]" dimensionUniqueName="[Table2]" displayFolder="" count="0" memberValueDatatype="20" unbalanced="0"/>
    <cacheHierarchy uniqueName="[Table2].[اجمالي بدون ضريبة]" caption="اجمالي بدون ضريبة" attribute="1" defaultMemberUniqueName="[Table2].[اجمالي بدون ضريبة].[All]" allUniqueName="[Table2].[اجمالي بدون ضريبة].[All]" dimensionUniqueName="[Table2]" displayFolder="" count="0" memberValueDatatype="5" unbalanced="0"/>
    <cacheHierarchy uniqueName="[Table2].[ضريبة]" caption="ضريبة" attribute="1" defaultMemberUniqueName="[Table2].[ضريبة].[All]" allUniqueName="[Table2].[ضريبة].[All]" dimensionUniqueName="[Table2]" displayFolder="" count="0" memberValueDatatype="5" unbalanced="0"/>
    <cacheHierarchy uniqueName="[Table2].[الإجمالي مع الضريبة]" caption="الإجمالي مع الضريبة" attribute="1" defaultMemberUniqueName="[Table2].[الإجمالي مع الضريبة].[All]" allUniqueName="[Table2].[الإجمالي مع الضريبة].[All]" dimensionUniqueName="[Table2]" displayFolder="" count="0" memberValueDatatype="5" unbalanced="0"/>
    <cacheHierarchy uniqueName="[Table2].[اجمالي الربح]" caption="اجمالي الربح" attribute="1" defaultMemberUniqueName="[Table2].[اجمالي الربح].[All]" allUniqueName="[Table2].[اجمالي الربح].[All]" dimensionUniqueName="[Table2]" displayFolder="" count="0" memberValueDatatype="5" unbalanced="0"/>
    <cacheHierarchy uniqueName="[Table1].[تاريخ بداية التقديم (Month Index)]" caption="تاريخ بداية التقديم (Month Index)" attribute="1" defaultMemberUniqueName="[Table1].[تاريخ بداية التقديم (Month Index)].[All]" allUniqueName="[Table1].[تاريخ بداية التقديم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تاريخ بداية التقديم]" caption="Count of تاريخ بداية التقديم" measure="1" displayFolder="" measureGroup="Table1" count="0" hidden="1">
      <extLst>
        <ext xmlns:x15="http://schemas.microsoft.com/office/spreadsheetml/2010/11/main" uri="{B97F6D7D-B522-45F9-BDA1-12C45D357490}">
          <x15:cacheHierarchy aggregatedColumn="5"/>
        </ext>
      </extLst>
    </cacheHierarchy>
    <cacheHierarchy uniqueName="[Measures].[Count of اسم المشروع]" caption="Count of اسم المشروع" measure="1" displayFolder="" measureGroup="Table1" count="0" hidden="1">
      <extLst>
        <ext xmlns:x15="http://schemas.microsoft.com/office/spreadsheetml/2010/11/main" uri="{B97F6D7D-B522-45F9-BDA1-12C45D357490}">
          <x15:cacheHierarchy aggregatedColumn="0"/>
        </ext>
      </extLst>
    </cacheHierarchy>
    <cacheHierarchy uniqueName="[Measures].[Count of الجهة الحكومية]" caption="Count of الجهة الحكومية" measure="1" displayFolder="" measureGroup="Table2" count="0" hidden="1">
      <extLst>
        <ext xmlns:x15="http://schemas.microsoft.com/office/spreadsheetml/2010/11/main" uri="{B97F6D7D-B522-45F9-BDA1-12C45D357490}">
          <x15:cacheHierarchy aggregatedColumn="18"/>
        </ext>
      </extLst>
    </cacheHierarchy>
    <cacheHierarchy uniqueName="[Measures].[Distinct Count of الجهة الحكومية]" caption="Distinct Count of الجهة الحكومية" measure="1" displayFolder="" measureGroup="Table2" count="0" hidden="1">
      <extLst>
        <ext xmlns:x15="http://schemas.microsoft.com/office/spreadsheetml/2010/11/main" uri="{B97F6D7D-B522-45F9-BDA1-12C45D357490}">
          <x15:cacheHierarchy aggregatedColumn="18"/>
        </ext>
      </extLst>
    </cacheHierarchy>
    <cacheHierarchy uniqueName="[Measures].[Sum of قيمة المشروع]" caption="Sum of قيمة المشروع" measure="1" displayFolder="" measureGroup="Table1" count="0" hidden="1">
      <extLst>
        <ext xmlns:x15="http://schemas.microsoft.com/office/spreadsheetml/2010/11/main" uri="{B97F6D7D-B522-45F9-BDA1-12C45D357490}">
          <x15:cacheHierarchy aggregatedColumn="8"/>
        </ext>
      </extLst>
    </cacheHierarchy>
    <cacheHierarchy uniqueName="[Measures].[Sum of نسبة الربحية المتوقعة]" caption="Sum of نسبة الربحية المتوقعة" measure="1" displayFolder="" measureGroup="Table1" count="0" hidden="1">
      <extLst>
        <ext xmlns:x15="http://schemas.microsoft.com/office/spreadsheetml/2010/11/main" uri="{B97F6D7D-B522-45F9-BDA1-12C45D357490}">
          <x15:cacheHierarchy aggregatedColumn="11"/>
        </ext>
      </extLst>
    </cacheHierarchy>
    <cacheHierarchy uniqueName="[Measures].[Sum of الكمية]" caption="Sum of الكمية" measure="1" displayFolder="" measureGroup="Table2"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اجمالي بدون ضريبة]" caption="Sum of اجمالي بدون ضريبة" measure="1" displayFolder="" measureGroup="Table2"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ضريبة]" caption="Sum of ضريبة" measure="1" displayFolder="" measureGroup="Table2" count="0" oneField="1" hidden="1">
      <fieldsUsage count="1">
        <fieldUsage x="2"/>
      </fieldsUsage>
      <extLst>
        <ext xmlns:x15="http://schemas.microsoft.com/office/spreadsheetml/2010/11/main" uri="{B97F6D7D-B522-45F9-BDA1-12C45D357490}">
          <x15:cacheHierarchy aggregatedColumn="30"/>
        </ext>
      </extLst>
    </cacheHierarchy>
    <cacheHierarchy uniqueName="[Measures].[Sum of الإجمالي مع الضريبة]" caption="Sum of الإجمالي مع الضريبة" measure="1" displayFolder="" measureGroup="Table2" count="0" oneField="1" hidden="1">
      <fieldsUsage count="1">
        <fieldUsage x="3"/>
      </fieldsUsage>
      <extLst>
        <ext xmlns:x15="http://schemas.microsoft.com/office/spreadsheetml/2010/11/main" uri="{B97F6D7D-B522-45F9-BDA1-12C45D357490}">
          <x15:cacheHierarchy aggregatedColumn="31"/>
        </ext>
      </extLst>
    </cacheHierarchy>
    <cacheHierarchy uniqueName="[Measures].[Sum of اجمالي الربح]" caption="Sum of اجمالي الربح" measure="1" displayFolder="" measureGroup="Table2"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تكلفة الحبة اللواحدة]" caption="Sum of تكلفة الحبة اللواحدة" measure="1" displayFolder="" measureGroup="Table2" count="0" hidden="1">
      <extLst>
        <ext xmlns:x15="http://schemas.microsoft.com/office/spreadsheetml/2010/11/main" uri="{B97F6D7D-B522-45F9-BDA1-12C45D357490}">
          <x15:cacheHierarchy aggregatedColumn="21"/>
        </ext>
      </extLst>
    </cacheHierarchy>
    <cacheHierarchy uniqueName="[Measures].[Sum of التكاليف  التشغيلية 20%]" caption="Sum of التكاليف  التشغيلية 20%" measure="1" displayFolder="" measureGroup="Table2" count="0" hidden="1"/>
    <cacheHierarchy uniqueName="[Measures].[Sum of المخاطرة 10% ( تحسب تلقائيا )]" caption="Sum of المخاطرة 10% ( تحسب تلقائيا )" measure="1" displayFolder="" measureGroup="Table2" count="0" hidden="1">
      <extLst>
        <ext xmlns:x15="http://schemas.microsoft.com/office/spreadsheetml/2010/11/main" uri="{B97F6D7D-B522-45F9-BDA1-12C45D357490}">
          <x15:cacheHierarchy aggregatedColumn="24"/>
        </ext>
      </extLst>
    </cacheHierarchy>
    <cacheHierarchy uniqueName="[Measures].[Sum of إجمالي التكاليف]" caption="Sum of إجمالي التكاليف" measure="1" displayFolder="" measureGroup="Table2" count="0" hidden="1"/>
    <cacheHierarchy uniqueName="[Measures].[Sum of ضريبة المنتج الواحد]" caption="Sum of ضريبة المنتج الواحد" measure="1" displayFolder="" measureGroup="Table2" count="0" hidden="1">
      <extLst>
        <ext xmlns:x15="http://schemas.microsoft.com/office/spreadsheetml/2010/11/main" uri="{B97F6D7D-B522-45F9-BDA1-12C45D357490}">
          <x15:cacheHierarchy aggregatedColumn="26"/>
        </ext>
      </extLst>
    </cacheHierarchy>
    <cacheHierarchy uniqueName="[Measures].[Sum of الإجمالي للبيع]" caption="Sum of الإجمالي للبيع" measure="1" displayFolder="" measureGroup="Table2" count="0" hidden="1">
      <extLst>
        <ext xmlns:x15="http://schemas.microsoft.com/office/spreadsheetml/2010/11/main" uri="{B97F6D7D-B522-45F9-BDA1-12C45D357490}">
          <x15:cacheHierarchy aggregatedColumn="27"/>
        </ext>
      </extLst>
    </cacheHierarchy>
    <cacheHierarchy uniqueName="[Measures].[Distinct Count of اسم المشروع]" caption="Distinct Count of اسم المشروع" measure="1" displayFolder="" measureGroup="Table1" count="0" hidden="1">
      <extLst>
        <ext xmlns:x15="http://schemas.microsoft.com/office/spreadsheetml/2010/11/main" uri="{B97F6D7D-B522-45F9-BDA1-12C45D357490}">
          <x15:cacheHierarchy aggregatedColumn="0"/>
        </ext>
      </extLst>
    </cacheHierarchy>
    <cacheHierarchy uniqueName="[Measures].[Count of حالة المشروع]" caption="Count of حالة المشروع" measure="1" displayFolder="" measureGroup="Table1" count="0" hidden="1">
      <extLst>
        <ext xmlns:x15="http://schemas.microsoft.com/office/spreadsheetml/2010/11/main" uri="{B97F6D7D-B522-45F9-BDA1-12C45D357490}">
          <x15:cacheHierarchy aggregatedColumn="9"/>
        </ext>
      </extLst>
    </cacheHierarchy>
    <cacheHierarchy uniqueName="[Measures].[Sum of قيمة الكراسة]" caption="Sum of قيمة الكراسة" measure="1" displayFolder="" measureGroup="Table1" count="0" hidden="1">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633.856829050928" backgroundQuery="1" createdVersion="8" refreshedVersion="8" minRefreshableVersion="3" recordCount="0" supportSubquery="1" supportAdvancedDrill="1" xr:uid="{93B48812-0403-4C72-A6F3-D2F57759A242}">
  <cacheSource type="external" connectionId="1"/>
  <cacheFields count="4">
    <cacheField name="[Table1].[تاريخ بداية التقديم (Month)].[تاريخ بداية التقديم (Month)]" caption="تاريخ بداية التقديم (Month)" numFmtId="0" hierarchy="14" level="1">
      <sharedItems count="6">
        <s v="Jan"/>
        <s v="May"/>
        <s v="Aug"/>
        <s v="Sep"/>
        <s v="Oct"/>
        <s v="Dec"/>
      </sharedItems>
    </cacheField>
    <cacheField name="[Table1].[تاريخ بداية التقديم (Year)].[تاريخ بداية التقديم (Year)]" caption="تاريخ بداية التقديم (Year)" numFmtId="0" hierarchy="12" level="1">
      <sharedItems count="2">
        <s v="2024"/>
        <s v="2025"/>
      </sharedItems>
    </cacheField>
    <cacheField name="[Measures].[Count of اسم المشروع]" caption="Count of اسم المشروع" numFmtId="0" hierarchy="38" level="32767"/>
    <cacheField name="[Table1].[الجهة الحكومية].[الجهة الحكومية]" caption="الجهة الحكومية" numFmtId="0" hierarchy="1" level="1">
      <sharedItems containsSemiMixedTypes="0" containsNonDate="0" containsString="0"/>
    </cacheField>
  </cacheFields>
  <cacheHierarchies count="57">
    <cacheHierarchy uniqueName="[Table1].[اسم المشروع]" caption="اسم المشروع" attribute="1" defaultMemberUniqueName="[Table1].[اسم المشروع].[All]" allUniqueName="[Table1].[اسم المشروع].[All]" dimensionUniqueName="[Table1]" displayFolder="" count="2" memberValueDatatype="130" unbalanced="0"/>
    <cacheHierarchy uniqueName="[Table1].[الجهة الحكومية]" caption="الجهة الحكومية" attribute="1" defaultMemberUniqueName="[Table1].[الجهة الحكومية].[All]" allUniqueName="[Table1].[الجهة الحكومية].[All]" dimensionUniqueName="[Table1]" displayFolder="" count="2" memberValueDatatype="130" unbalanced="0">
      <fieldsUsage count="2">
        <fieldUsage x="-1"/>
        <fieldUsage x="3"/>
      </fieldsUsage>
    </cacheHierarchy>
    <cacheHierarchy uniqueName="[Table1].[المنطقة]" caption="المنطقة" attribute="1" defaultMemberUniqueName="[Table1].[المنطقة].[All]" allUniqueName="[Table1].[المنطقة].[All]" dimensionUniqueName="[Table1]" displayFolder="" count="0" memberValueDatatype="130" unbalanced="0"/>
    <cacheHierarchy uniqueName="[Table1].[رقم المناقصة]" caption="رقم المناقصة" attribute="1" defaultMemberUniqueName="[Table1].[رقم المناقصة].[All]" allUniqueName="[Table1].[رقم المناقصة].[All]" dimensionUniqueName="[Table1]" displayFolder="" count="0" memberValueDatatype="5" unbalanced="0"/>
    <cacheHierarchy uniqueName="[Table1].[تفاصيل المناقصة]" caption="تفاصيل المناقصة" attribute="1" defaultMemberUniqueName="[Table1].[تفاصيل المناقصة].[All]" allUniqueName="[Table1].[تفاصيل المناقصة].[All]" dimensionUniqueName="[Table1]" displayFolder="" count="0" memberValueDatatype="130" unbalanced="0"/>
    <cacheHierarchy uniqueName="[Table1].[تاريخ بداية التقديم]" caption="تاريخ بداية التقديم" attribute="1" time="1" defaultMemberUniqueName="[Table1].[تاريخ بداية التقديم].[All]" allUniqueName="[Table1].[تاريخ بداية التقديم].[All]" dimensionUniqueName="[Table1]" displayFolder="" count="0" memberValueDatatype="7" unbalanced="0"/>
    <cacheHierarchy uniqueName="[Table1].[تاريخ انتهاء التقديم]" caption="تاريخ انتهاء التقديم" attribute="1" time="1" defaultMemberUniqueName="[Table1].[تاريخ انتهاء التقديم].[All]" allUniqueName="[Table1].[تاريخ انتهاء التقديم].[All]" dimensionUniqueName="[Table1]" displayFolder="" count="0" memberValueDatatype="7" unbalanced="0"/>
    <cacheHierarchy uniqueName="[Table1].[قيمة الكراسة]" caption="قيمة الكراسة" attribute="1" defaultMemberUniqueName="[Table1].[قيمة الكراسة].[All]" allUniqueName="[Table1].[قيمة الكراسة].[All]" dimensionUniqueName="[Table1]" displayFolder="" count="0" memberValueDatatype="5" unbalanced="0"/>
    <cacheHierarchy uniqueName="[Table1].[قيمة المشروع]" caption="قيمة المشروع" attribute="1" defaultMemberUniqueName="[Table1].[قيمة المشروع].[All]" allUniqueName="[Table1].[قيمة المشروع].[All]" dimensionUniqueName="[Table1]" displayFolder="" count="0" memberValueDatatype="20" unbalanced="0"/>
    <cacheHierarchy uniqueName="[Table1].[حالة المشروع]" caption="حالة المشروع" attribute="1" defaultMemberUniqueName="[Table1].[حالة المشروع].[All]" allUniqueName="[Table1].[حالة المشروع].[All]" dimensionUniqueName="[Table1]" displayFolder="" count="0" memberValueDatatype="130" unbalanced="0"/>
    <cacheHierarchy uniqueName="[Table1].[الفرق]" caption="الفرق" attribute="1" defaultMemberUniqueName="[Table1].[الفرق].[All]" allUniqueName="[Table1].[الفرق].[All]" dimensionUniqueName="[Table1]" displayFolder="" count="0" memberValueDatatype="5" unbalanced="0"/>
    <cacheHierarchy uniqueName="[Table1].[نسبة الربحية المتوقعة]" caption="نسبة الربحية المتوقعة" attribute="1" defaultMemberUniqueName="[Table1].[نسبة الربحية المتوقعة].[All]" allUniqueName="[Table1].[نسبة الربحية المتوقعة].[All]" dimensionUniqueName="[Table1]" displayFolder="" count="0" memberValueDatatype="5" unbalanced="0"/>
    <cacheHierarchy uniqueName="[Table1].[تاريخ بداية التقديم (Year)]" caption="تاريخ بداية التقديم (Year)" attribute="1" defaultMemberUniqueName="[Table1].[تاريخ بداية التقديم (Year)].[All]" allUniqueName="[Table1].[تاريخ بداية التقديم (Year)].[All]" dimensionUniqueName="[Table1]" displayFolder="" count="2" memberValueDatatype="130" unbalanced="0">
      <fieldsUsage count="2">
        <fieldUsage x="-1"/>
        <fieldUsage x="1"/>
      </fieldsUsage>
    </cacheHierarchy>
    <cacheHierarchy uniqueName="[Table1].[تاريخ بداية التقديم (Quarter)]" caption="تاريخ بداية التقديم (Quarter)" attribute="1" defaultMemberUniqueName="[Table1].[تاريخ بداية التقديم (Quarter)].[All]" allUniqueName="[Table1].[تاريخ بداية التقديم (Quarter)].[All]" dimensionUniqueName="[Table1]" displayFolder="" count="0" memberValueDatatype="130" unbalanced="0"/>
    <cacheHierarchy uniqueName="[Table1].[تاريخ بداية التقديم (Month)]" caption="تاريخ بداية التقديم (Month)" attribute="1" defaultMemberUniqueName="[Table1].[تاريخ بداية التقديم (Month)].[All]" allUniqueName="[Table1].[تاريخ بداية التقديم (Month)].[All]" dimensionUniqueName="[Table1]" displayFolder="" count="2" memberValueDatatype="130" unbalanced="0">
      <fieldsUsage count="2">
        <fieldUsage x="-1"/>
        <fieldUsage x="0"/>
      </fieldsUsage>
    </cacheHierarchy>
    <cacheHierarchy uniqueName="[Table1].[قيمة الربح]" caption="قيمة الربح" attribute="1" defaultMemberUniqueName="[Table1].[قيمة الربح].[All]" allUniqueName="[Table1].[قيمة الربح].[All]" dimensionUniqueName="[Table1]" displayFolder="" count="0" memberValueDatatype="5" unbalanced="0"/>
    <cacheHierarchy uniqueName="[Table1].[قيمة العمولات]" caption="قيمة العمولات" attribute="1" defaultMemberUniqueName="[Table1].[قيمة العمولات].[All]" allUniqueName="[Table1].[قيمة العمولات].[All]" dimensionUniqueName="[Table1]" displayFolder="" count="0" memberValueDatatype="20" unbalanced="0"/>
    <cacheHierarchy uniqueName="[Table2].[اسم المشروع]" caption="اسم المشروع" attribute="1" defaultMemberUniqueName="[Table2].[اسم المشروع].[All]" allUniqueName="[Table2].[اسم المشروع].[All]" dimensionUniqueName="[Table2]" displayFolder="" count="0" memberValueDatatype="130" unbalanced="0"/>
    <cacheHierarchy uniqueName="[Table2].[الجهة الحكومية]" caption="الجهة الحكومية" attribute="1" defaultMemberUniqueName="[Table2].[الجهة الحكومية].[All]" allUniqueName="[Table2].[الجهة الحكومية].[All]" dimensionUniqueName="[Table2]" displayFolder="" count="0" memberValueDatatype="130" unbalanced="0"/>
    <cacheHierarchy uniqueName="[Table2].[المخرج]" caption="المخرج" attribute="1" defaultMemberUniqueName="[Table2].[المخرج].[All]" allUniqueName="[Table2].[المخرج].[All]" dimensionUniqueName="[Table2]" displayFolder="" count="0" memberValueDatatype="130" unbalanced="0"/>
    <cacheHierarchy uniqueName="[Table2].[الوحدة]" caption="الوحدة" attribute="1" defaultMemberUniqueName="[Table2].[الوحدة].[All]" allUniqueName="[Table2].[الوحدة].[All]" dimensionUniqueName="[Table2]" displayFolder="" count="0" memberValueDatatype="130" unbalanced="0"/>
    <cacheHierarchy uniqueName="[Table2].[تكلفة الحبة اللواحدة]" caption="تكلفة الحبة اللواحدة" attribute="1" defaultMemberUniqueName="[Table2].[تكلفة الحبة اللواحدة].[All]" allUniqueName="[Table2].[تكلفة الحبة اللواحدة].[All]" dimensionUniqueName="[Table2]" displayFolder="" count="0" memberValueDatatype="20" unbalanced="0"/>
    <cacheHierarchy uniqueName="[Table2].[إجمالي التكاليف للحبة الواحدة]" caption="إجمالي التكاليف للحبة الواحدة" attribute="1" defaultMemberUniqueName="[Table2].[إجمالي التكاليف للحبة الواحدة].[All]" allUniqueName="[Table2].[إجمالي التكاليف للحبة الواحدة].[All]" dimensionUniqueName="[Table2]" displayFolder="" count="0" memberValueDatatype="20" unbalanced="0"/>
    <cacheHierarchy uniqueName="[Table2].[التكاليف  التشغيلية 20%]" caption="التكاليف  التشغيلية 20%" attribute="1" defaultMemberUniqueName="[Table2].[التكاليف  التشغيلية 20%].[All]" allUniqueName="[Table2].[التكاليف  التشغيلية 20%].[All]" dimensionUniqueName="[Table2]" displayFolder="" count="0" memberValueDatatype="5" unbalanced="0"/>
    <cacheHierarchy uniqueName="[Table2].[المخاطرة 10% ( تحسب تلقائيا )]" caption="المخاطرة 10% ( تحسب تلقائيا )" attribute="1" defaultMemberUniqueName="[Table2].[المخاطرة 10% ( تحسب تلقائيا )].[All]" allUniqueName="[Table2].[المخاطرة 10% ( تحسب تلقائيا )].[All]" dimensionUniqueName="[Table2]" displayFolder="" count="0" memberValueDatatype="5" unbalanced="0"/>
    <cacheHierarchy uniqueName="[Table2].[إجمالي التكاليف]" caption="إجمالي التكاليف" attribute="1" defaultMemberUniqueName="[Table2].[إجمالي التكاليف].[All]" allUniqueName="[Table2].[إجمالي التكاليف].[All]" dimensionUniqueName="[Table2]" displayFolder="" count="0" memberValueDatatype="5" unbalanced="0"/>
    <cacheHierarchy uniqueName="[Table2].[ضريبة المنتج الواحد]" caption="ضريبة المنتج الواحد" attribute="1" defaultMemberUniqueName="[Table2].[ضريبة المنتج الواحد].[All]" allUniqueName="[Table2].[ضريبة المنتج الواحد].[All]" dimensionUniqueName="[Table2]" displayFolder="" count="0" memberValueDatatype="5" unbalanced="0"/>
    <cacheHierarchy uniqueName="[Table2].[الإجمالي للبيع]" caption="الإجمالي للبيع" attribute="1" defaultMemberUniqueName="[Table2].[الإجمالي للبيع].[All]" allUniqueName="[Table2].[الإجمالي للبيع].[All]" dimensionUniqueName="[Table2]" displayFolder="" count="0" memberValueDatatype="5" unbalanced="0"/>
    <cacheHierarchy uniqueName="[Table2].[الكمية]" caption="الكمية" attribute="1" defaultMemberUniqueName="[Table2].[الكمية].[All]" allUniqueName="[Table2].[الكمية].[All]" dimensionUniqueName="[Table2]" displayFolder="" count="0" memberValueDatatype="20" unbalanced="0"/>
    <cacheHierarchy uniqueName="[Table2].[اجمالي بدون ضريبة]" caption="اجمالي بدون ضريبة" attribute="1" defaultMemberUniqueName="[Table2].[اجمالي بدون ضريبة].[All]" allUniqueName="[Table2].[اجمالي بدون ضريبة].[All]" dimensionUniqueName="[Table2]" displayFolder="" count="0" memberValueDatatype="5" unbalanced="0"/>
    <cacheHierarchy uniqueName="[Table2].[ضريبة]" caption="ضريبة" attribute="1" defaultMemberUniqueName="[Table2].[ضريبة].[All]" allUniqueName="[Table2].[ضريبة].[All]" dimensionUniqueName="[Table2]" displayFolder="" count="0" memberValueDatatype="5" unbalanced="0"/>
    <cacheHierarchy uniqueName="[Table2].[الإجمالي مع الضريبة]" caption="الإجمالي مع الضريبة" attribute="1" defaultMemberUniqueName="[Table2].[الإجمالي مع الضريبة].[All]" allUniqueName="[Table2].[الإجمالي مع الضريبة].[All]" dimensionUniqueName="[Table2]" displayFolder="" count="0" memberValueDatatype="5" unbalanced="0"/>
    <cacheHierarchy uniqueName="[Table2].[اجمالي الربح]" caption="اجمالي الربح" attribute="1" defaultMemberUniqueName="[Table2].[اجمالي الربح].[All]" allUniqueName="[Table2].[اجمالي الربح].[All]" dimensionUniqueName="[Table2]" displayFolder="" count="0" memberValueDatatype="5" unbalanced="0"/>
    <cacheHierarchy uniqueName="[Table1].[تاريخ بداية التقديم (Month Index)]" caption="تاريخ بداية التقديم (Month Index)" attribute="1" defaultMemberUniqueName="[Table1].[تاريخ بداية التقديم (Month Index)].[All]" allUniqueName="[Table1].[تاريخ بداية التقديم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تاريخ بداية التقديم]" caption="Count of تاريخ بداية التقديم" measure="1" displayFolder="" measureGroup="Table1" count="0" hidden="1">
      <extLst>
        <ext xmlns:x15="http://schemas.microsoft.com/office/spreadsheetml/2010/11/main" uri="{B97F6D7D-B522-45F9-BDA1-12C45D357490}">
          <x15:cacheHierarchy aggregatedColumn="5"/>
        </ext>
      </extLst>
    </cacheHierarchy>
    <cacheHierarchy uniqueName="[Measures].[Count of اسم المشروع]" caption="Count of اسم المشروع" measure="1" displayFolder="" measureGroup="Table1"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الجهة الحكومية]" caption="Count of الجهة الحكومية" measure="1" displayFolder="" measureGroup="Table2" count="0" hidden="1">
      <extLst>
        <ext xmlns:x15="http://schemas.microsoft.com/office/spreadsheetml/2010/11/main" uri="{B97F6D7D-B522-45F9-BDA1-12C45D357490}">
          <x15:cacheHierarchy aggregatedColumn="18"/>
        </ext>
      </extLst>
    </cacheHierarchy>
    <cacheHierarchy uniqueName="[Measures].[Distinct Count of الجهة الحكومية]" caption="Distinct Count of الجهة الحكومية" measure="1" displayFolder="" measureGroup="Table2" count="0" hidden="1">
      <extLst>
        <ext xmlns:x15="http://schemas.microsoft.com/office/spreadsheetml/2010/11/main" uri="{B97F6D7D-B522-45F9-BDA1-12C45D357490}">
          <x15:cacheHierarchy aggregatedColumn="18"/>
        </ext>
      </extLst>
    </cacheHierarchy>
    <cacheHierarchy uniqueName="[Measures].[Sum of قيمة المشروع]" caption="Sum of قيمة المشروع" measure="1" displayFolder="" measureGroup="Table1" count="0" hidden="1">
      <extLst>
        <ext xmlns:x15="http://schemas.microsoft.com/office/spreadsheetml/2010/11/main" uri="{B97F6D7D-B522-45F9-BDA1-12C45D357490}">
          <x15:cacheHierarchy aggregatedColumn="8"/>
        </ext>
      </extLst>
    </cacheHierarchy>
    <cacheHierarchy uniqueName="[Measures].[Sum of نسبة الربحية المتوقعة]" caption="Sum of نسبة الربحية المتوقعة" measure="1" displayFolder="" measureGroup="Table1" count="0" hidden="1">
      <extLst>
        <ext xmlns:x15="http://schemas.microsoft.com/office/spreadsheetml/2010/11/main" uri="{B97F6D7D-B522-45F9-BDA1-12C45D357490}">
          <x15:cacheHierarchy aggregatedColumn="11"/>
        </ext>
      </extLst>
    </cacheHierarchy>
    <cacheHierarchy uniqueName="[Measures].[Sum of الكمية]" caption="Sum of الكمية" measure="1" displayFolder="" measureGroup="Table2" count="0" hidden="1">
      <extLst>
        <ext xmlns:x15="http://schemas.microsoft.com/office/spreadsheetml/2010/11/main" uri="{B97F6D7D-B522-45F9-BDA1-12C45D357490}">
          <x15:cacheHierarchy aggregatedColumn="28"/>
        </ext>
      </extLst>
    </cacheHierarchy>
    <cacheHierarchy uniqueName="[Measures].[Sum of اجمالي بدون ضريبة]" caption="Sum of اجمالي بدون ضريبة" measure="1" displayFolder="" measureGroup="Table2" count="0" hidden="1">
      <extLst>
        <ext xmlns:x15="http://schemas.microsoft.com/office/spreadsheetml/2010/11/main" uri="{B97F6D7D-B522-45F9-BDA1-12C45D357490}">
          <x15:cacheHierarchy aggregatedColumn="29"/>
        </ext>
      </extLst>
    </cacheHierarchy>
    <cacheHierarchy uniqueName="[Measures].[Sum of ضريبة]" caption="Sum of ضريبة" measure="1" displayFolder="" measureGroup="Table2" count="0" hidden="1">
      <extLst>
        <ext xmlns:x15="http://schemas.microsoft.com/office/spreadsheetml/2010/11/main" uri="{B97F6D7D-B522-45F9-BDA1-12C45D357490}">
          <x15:cacheHierarchy aggregatedColumn="30"/>
        </ext>
      </extLst>
    </cacheHierarchy>
    <cacheHierarchy uniqueName="[Measures].[Sum of الإجمالي مع الضريبة]" caption="Sum of الإجمالي مع الضريبة" measure="1" displayFolder="" measureGroup="Table2" count="0" hidden="1">
      <extLst>
        <ext xmlns:x15="http://schemas.microsoft.com/office/spreadsheetml/2010/11/main" uri="{B97F6D7D-B522-45F9-BDA1-12C45D357490}">
          <x15:cacheHierarchy aggregatedColumn="31"/>
        </ext>
      </extLst>
    </cacheHierarchy>
    <cacheHierarchy uniqueName="[Measures].[Sum of اجمالي الربح]" caption="Sum of اجمالي الربح" measure="1" displayFolder="" measureGroup="Table2" count="0" hidden="1">
      <extLst>
        <ext xmlns:x15="http://schemas.microsoft.com/office/spreadsheetml/2010/11/main" uri="{B97F6D7D-B522-45F9-BDA1-12C45D357490}">
          <x15:cacheHierarchy aggregatedColumn="32"/>
        </ext>
      </extLst>
    </cacheHierarchy>
    <cacheHierarchy uniqueName="[Measures].[Sum of تكلفة الحبة اللواحدة]" caption="Sum of تكلفة الحبة اللواحدة" measure="1" displayFolder="" measureGroup="Table2" count="0" hidden="1">
      <extLst>
        <ext xmlns:x15="http://schemas.microsoft.com/office/spreadsheetml/2010/11/main" uri="{B97F6D7D-B522-45F9-BDA1-12C45D357490}">
          <x15:cacheHierarchy aggregatedColumn="21"/>
        </ext>
      </extLst>
    </cacheHierarchy>
    <cacheHierarchy uniqueName="[Measures].[Sum of التكاليف  التشغيلية 20%]" caption="Sum of التكاليف  التشغيلية 20%" measure="1" displayFolder="" measureGroup="Table2" count="0" hidden="1"/>
    <cacheHierarchy uniqueName="[Measures].[Sum of المخاطرة 10% ( تحسب تلقائيا )]" caption="Sum of المخاطرة 10% ( تحسب تلقائيا )" measure="1" displayFolder="" measureGroup="Table2" count="0" hidden="1">
      <extLst>
        <ext xmlns:x15="http://schemas.microsoft.com/office/spreadsheetml/2010/11/main" uri="{B97F6D7D-B522-45F9-BDA1-12C45D357490}">
          <x15:cacheHierarchy aggregatedColumn="24"/>
        </ext>
      </extLst>
    </cacheHierarchy>
    <cacheHierarchy uniqueName="[Measures].[Sum of إجمالي التكاليف]" caption="Sum of إجمالي التكاليف" measure="1" displayFolder="" measureGroup="Table2" count="0" hidden="1"/>
    <cacheHierarchy uniqueName="[Measures].[Sum of ضريبة المنتج الواحد]" caption="Sum of ضريبة المنتج الواحد" measure="1" displayFolder="" measureGroup="Table2" count="0" hidden="1">
      <extLst>
        <ext xmlns:x15="http://schemas.microsoft.com/office/spreadsheetml/2010/11/main" uri="{B97F6D7D-B522-45F9-BDA1-12C45D357490}">
          <x15:cacheHierarchy aggregatedColumn="26"/>
        </ext>
      </extLst>
    </cacheHierarchy>
    <cacheHierarchy uniqueName="[Measures].[Sum of الإجمالي للبيع]" caption="Sum of الإجمالي للبيع" measure="1" displayFolder="" measureGroup="Table2" count="0" hidden="1">
      <extLst>
        <ext xmlns:x15="http://schemas.microsoft.com/office/spreadsheetml/2010/11/main" uri="{B97F6D7D-B522-45F9-BDA1-12C45D357490}">
          <x15:cacheHierarchy aggregatedColumn="27"/>
        </ext>
      </extLst>
    </cacheHierarchy>
    <cacheHierarchy uniqueName="[Measures].[Distinct Count of اسم المشروع]" caption="Distinct Count of اسم المشروع" measure="1" displayFolder="" measureGroup="Table1" count="0" hidden="1">
      <extLst>
        <ext xmlns:x15="http://schemas.microsoft.com/office/spreadsheetml/2010/11/main" uri="{B97F6D7D-B522-45F9-BDA1-12C45D357490}">
          <x15:cacheHierarchy aggregatedColumn="0"/>
        </ext>
      </extLst>
    </cacheHierarchy>
    <cacheHierarchy uniqueName="[Measures].[Count of حالة المشروع]" caption="Count of حالة المشروع" measure="1" displayFolder="" measureGroup="Table1" count="0" hidden="1">
      <extLst>
        <ext xmlns:x15="http://schemas.microsoft.com/office/spreadsheetml/2010/11/main" uri="{B97F6D7D-B522-45F9-BDA1-12C45D357490}">
          <x15:cacheHierarchy aggregatedColumn="9"/>
        </ext>
      </extLst>
    </cacheHierarchy>
    <cacheHierarchy uniqueName="[Measures].[Sum of قيمة الكراسة]" caption="Sum of قيمة الكراسة" measure="1" displayFolder="" measureGroup="Table1" count="0" hidden="1">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633.856831712961" backgroundQuery="1" createdVersion="8" refreshedVersion="8" minRefreshableVersion="3" recordCount="0" supportSubquery="1" supportAdvancedDrill="1" xr:uid="{0F890A06-1249-467C-9E9D-038090BC3014}">
  <cacheSource type="external" connectionId="1"/>
  <cacheFields count="4">
    <cacheField name="[Table1].[المنطقة].[المنطقة]" caption="المنطقة" numFmtId="0" hierarchy="2" level="1">
      <sharedItems count="3">
        <s v="الرياض"/>
        <s v="المدينة"/>
        <s v="جدة"/>
      </sharedItems>
    </cacheField>
    <cacheField name="[Measures].[Count of اسم المشروع]" caption="Count of اسم المشروع" numFmtId="0" hierarchy="38" level="32767"/>
    <cacheField name="[Table1].[تاريخ بداية التقديم (Month)].[تاريخ بداية التقديم (Month)]" caption="تاريخ بداية التقديم (Month)" numFmtId="0" hierarchy="14" level="1">
      <sharedItems containsSemiMixedTypes="0" containsNonDate="0" containsString="0"/>
    </cacheField>
    <cacheField name="[Table1].[الجهة الحكومية].[الجهة الحكومية]" caption="الجهة الحكومية" numFmtId="0" hierarchy="1" level="1">
      <sharedItems containsSemiMixedTypes="0" containsNonDate="0" containsString="0"/>
    </cacheField>
  </cacheFields>
  <cacheHierarchies count="57">
    <cacheHierarchy uniqueName="[Table1].[اسم المشروع]" caption="اسم المشروع" attribute="1" defaultMemberUniqueName="[Table1].[اسم المشروع].[All]" allUniqueName="[Table1].[اسم المشروع].[All]" dimensionUniqueName="[Table1]" displayFolder="" count="2" memberValueDatatype="130" unbalanced="0"/>
    <cacheHierarchy uniqueName="[Table1].[الجهة الحكومية]" caption="الجهة الحكومية" attribute="1" defaultMemberUniqueName="[Table1].[الجهة الحكومية].[All]" allUniqueName="[Table1].[الجهة الحكومية].[All]" dimensionUniqueName="[Table1]" displayFolder="" count="2" memberValueDatatype="130" unbalanced="0">
      <fieldsUsage count="2">
        <fieldUsage x="-1"/>
        <fieldUsage x="3"/>
      </fieldsUsage>
    </cacheHierarchy>
    <cacheHierarchy uniqueName="[Table1].[المنطقة]" caption="المنطقة" attribute="1" defaultMemberUniqueName="[Table1].[المنطقة].[All]" allUniqueName="[Table1].[المنطقة].[All]" dimensionUniqueName="[Table1]" displayFolder="" count="2" memberValueDatatype="130" unbalanced="0">
      <fieldsUsage count="2">
        <fieldUsage x="-1"/>
        <fieldUsage x="0"/>
      </fieldsUsage>
    </cacheHierarchy>
    <cacheHierarchy uniqueName="[Table1].[رقم المناقصة]" caption="رقم المناقصة" attribute="1" defaultMemberUniqueName="[Table1].[رقم المناقصة].[All]" allUniqueName="[Table1].[رقم المناقصة].[All]" dimensionUniqueName="[Table1]" displayFolder="" count="0" memberValueDatatype="5" unbalanced="0"/>
    <cacheHierarchy uniqueName="[Table1].[تفاصيل المناقصة]" caption="تفاصيل المناقصة" attribute="1" defaultMemberUniqueName="[Table1].[تفاصيل المناقصة].[All]" allUniqueName="[Table1].[تفاصيل المناقصة].[All]" dimensionUniqueName="[Table1]" displayFolder="" count="0" memberValueDatatype="130" unbalanced="0"/>
    <cacheHierarchy uniqueName="[Table1].[تاريخ بداية التقديم]" caption="تاريخ بداية التقديم" attribute="1" time="1" defaultMemberUniqueName="[Table1].[تاريخ بداية التقديم].[All]" allUniqueName="[Table1].[تاريخ بداية التقديم].[All]" dimensionUniqueName="[Table1]" displayFolder="" count="0" memberValueDatatype="7" unbalanced="0"/>
    <cacheHierarchy uniqueName="[Table1].[تاريخ انتهاء التقديم]" caption="تاريخ انتهاء التقديم" attribute="1" time="1" defaultMemberUniqueName="[Table1].[تاريخ انتهاء التقديم].[All]" allUniqueName="[Table1].[تاريخ انتهاء التقديم].[All]" dimensionUniqueName="[Table1]" displayFolder="" count="0" memberValueDatatype="7" unbalanced="0"/>
    <cacheHierarchy uniqueName="[Table1].[قيمة الكراسة]" caption="قيمة الكراسة" attribute="1" defaultMemberUniqueName="[Table1].[قيمة الكراسة].[All]" allUniqueName="[Table1].[قيمة الكراسة].[All]" dimensionUniqueName="[Table1]" displayFolder="" count="0" memberValueDatatype="5" unbalanced="0"/>
    <cacheHierarchy uniqueName="[Table1].[قيمة المشروع]" caption="قيمة المشروع" attribute="1" defaultMemberUniqueName="[Table1].[قيمة المشروع].[All]" allUniqueName="[Table1].[قيمة المشروع].[All]" dimensionUniqueName="[Table1]" displayFolder="" count="0" memberValueDatatype="20" unbalanced="0"/>
    <cacheHierarchy uniqueName="[Table1].[حالة المشروع]" caption="حالة المشروع" attribute="1" defaultMemberUniqueName="[Table1].[حالة المشروع].[All]" allUniqueName="[Table1].[حالة المشروع].[All]" dimensionUniqueName="[Table1]" displayFolder="" count="0" memberValueDatatype="130" unbalanced="0"/>
    <cacheHierarchy uniqueName="[Table1].[الفرق]" caption="الفرق" attribute="1" defaultMemberUniqueName="[Table1].[الفرق].[All]" allUniqueName="[Table1].[الفرق].[All]" dimensionUniqueName="[Table1]" displayFolder="" count="0" memberValueDatatype="5" unbalanced="0"/>
    <cacheHierarchy uniqueName="[Table1].[نسبة الربحية المتوقعة]" caption="نسبة الربحية المتوقعة" attribute="1" defaultMemberUniqueName="[Table1].[نسبة الربحية المتوقعة].[All]" allUniqueName="[Table1].[نسبة الربحية المتوقعة].[All]" dimensionUniqueName="[Table1]" displayFolder="" count="0" memberValueDatatype="5" unbalanced="0"/>
    <cacheHierarchy uniqueName="[Table1].[تاريخ بداية التقديم (Year)]" caption="تاريخ بداية التقديم (Year)" attribute="1" defaultMemberUniqueName="[Table1].[تاريخ بداية التقديم (Year)].[All]" allUniqueName="[Table1].[تاريخ بداية التقديم (Year)].[All]" dimensionUniqueName="[Table1]" displayFolder="" count="2" memberValueDatatype="130" unbalanced="0"/>
    <cacheHierarchy uniqueName="[Table1].[تاريخ بداية التقديم (Quarter)]" caption="تاريخ بداية التقديم (Quarter)" attribute="1" defaultMemberUniqueName="[Table1].[تاريخ بداية التقديم (Quarter)].[All]" allUniqueName="[Table1].[تاريخ بداية التقديم (Quarter)].[All]" dimensionUniqueName="[Table1]" displayFolder="" count="0" memberValueDatatype="130" unbalanced="0"/>
    <cacheHierarchy uniqueName="[Table1].[تاريخ بداية التقديم (Month)]" caption="تاريخ بداية التقديم (Month)" attribute="1" defaultMemberUniqueName="[Table1].[تاريخ بداية التقديم (Month)].[All]" allUniqueName="[Table1].[تاريخ بداية التقديم (Month)].[All]" dimensionUniqueName="[Table1]" displayFolder="" count="2" memberValueDatatype="130" unbalanced="0">
      <fieldsUsage count="2">
        <fieldUsage x="-1"/>
        <fieldUsage x="2"/>
      </fieldsUsage>
    </cacheHierarchy>
    <cacheHierarchy uniqueName="[Table1].[قيمة الربح]" caption="قيمة الربح" attribute="1" defaultMemberUniqueName="[Table1].[قيمة الربح].[All]" allUniqueName="[Table1].[قيمة الربح].[All]" dimensionUniqueName="[Table1]" displayFolder="" count="0" memberValueDatatype="5" unbalanced="0"/>
    <cacheHierarchy uniqueName="[Table1].[قيمة العمولات]" caption="قيمة العمولات" attribute="1" defaultMemberUniqueName="[Table1].[قيمة العمولات].[All]" allUniqueName="[Table1].[قيمة العمولات].[All]" dimensionUniqueName="[Table1]" displayFolder="" count="0" memberValueDatatype="20" unbalanced="0"/>
    <cacheHierarchy uniqueName="[Table2].[اسم المشروع]" caption="اسم المشروع" attribute="1" defaultMemberUniqueName="[Table2].[اسم المشروع].[All]" allUniqueName="[Table2].[اسم المشروع].[All]" dimensionUniqueName="[Table2]" displayFolder="" count="0" memberValueDatatype="130" unbalanced="0"/>
    <cacheHierarchy uniqueName="[Table2].[الجهة الحكومية]" caption="الجهة الحكومية" attribute="1" defaultMemberUniqueName="[Table2].[الجهة الحكومية].[All]" allUniqueName="[Table2].[الجهة الحكومية].[All]" dimensionUniqueName="[Table2]" displayFolder="" count="0" memberValueDatatype="130" unbalanced="0"/>
    <cacheHierarchy uniqueName="[Table2].[المخرج]" caption="المخرج" attribute="1" defaultMemberUniqueName="[Table2].[المخرج].[All]" allUniqueName="[Table2].[المخرج].[All]" dimensionUniqueName="[Table2]" displayFolder="" count="0" memberValueDatatype="130" unbalanced="0"/>
    <cacheHierarchy uniqueName="[Table2].[الوحدة]" caption="الوحدة" attribute="1" defaultMemberUniqueName="[Table2].[الوحدة].[All]" allUniqueName="[Table2].[الوحدة].[All]" dimensionUniqueName="[Table2]" displayFolder="" count="0" memberValueDatatype="130" unbalanced="0"/>
    <cacheHierarchy uniqueName="[Table2].[تكلفة الحبة اللواحدة]" caption="تكلفة الحبة اللواحدة" attribute="1" defaultMemberUniqueName="[Table2].[تكلفة الحبة اللواحدة].[All]" allUniqueName="[Table2].[تكلفة الحبة اللواحدة].[All]" dimensionUniqueName="[Table2]" displayFolder="" count="0" memberValueDatatype="20" unbalanced="0"/>
    <cacheHierarchy uniqueName="[Table2].[إجمالي التكاليف للحبة الواحدة]" caption="إجمالي التكاليف للحبة الواحدة" attribute="1" defaultMemberUniqueName="[Table2].[إجمالي التكاليف للحبة الواحدة].[All]" allUniqueName="[Table2].[إجمالي التكاليف للحبة الواحدة].[All]" dimensionUniqueName="[Table2]" displayFolder="" count="0" memberValueDatatype="20" unbalanced="0"/>
    <cacheHierarchy uniqueName="[Table2].[التكاليف  التشغيلية 20%]" caption="التكاليف  التشغيلية 20%" attribute="1" defaultMemberUniqueName="[Table2].[التكاليف  التشغيلية 20%].[All]" allUniqueName="[Table2].[التكاليف  التشغيلية 20%].[All]" dimensionUniqueName="[Table2]" displayFolder="" count="0" memberValueDatatype="5" unbalanced="0"/>
    <cacheHierarchy uniqueName="[Table2].[المخاطرة 10% ( تحسب تلقائيا )]" caption="المخاطرة 10% ( تحسب تلقائيا )" attribute="1" defaultMemberUniqueName="[Table2].[المخاطرة 10% ( تحسب تلقائيا )].[All]" allUniqueName="[Table2].[المخاطرة 10% ( تحسب تلقائيا )].[All]" dimensionUniqueName="[Table2]" displayFolder="" count="0" memberValueDatatype="5" unbalanced="0"/>
    <cacheHierarchy uniqueName="[Table2].[إجمالي التكاليف]" caption="إجمالي التكاليف" attribute="1" defaultMemberUniqueName="[Table2].[إجمالي التكاليف].[All]" allUniqueName="[Table2].[إجمالي التكاليف].[All]" dimensionUniqueName="[Table2]" displayFolder="" count="0" memberValueDatatype="5" unbalanced="0"/>
    <cacheHierarchy uniqueName="[Table2].[ضريبة المنتج الواحد]" caption="ضريبة المنتج الواحد" attribute="1" defaultMemberUniqueName="[Table2].[ضريبة المنتج الواحد].[All]" allUniqueName="[Table2].[ضريبة المنتج الواحد].[All]" dimensionUniqueName="[Table2]" displayFolder="" count="0" memberValueDatatype="5" unbalanced="0"/>
    <cacheHierarchy uniqueName="[Table2].[الإجمالي للبيع]" caption="الإجمالي للبيع" attribute="1" defaultMemberUniqueName="[Table2].[الإجمالي للبيع].[All]" allUniqueName="[Table2].[الإجمالي للبيع].[All]" dimensionUniqueName="[Table2]" displayFolder="" count="0" memberValueDatatype="5" unbalanced="0"/>
    <cacheHierarchy uniqueName="[Table2].[الكمية]" caption="الكمية" attribute="1" defaultMemberUniqueName="[Table2].[الكمية].[All]" allUniqueName="[Table2].[الكمية].[All]" dimensionUniqueName="[Table2]" displayFolder="" count="0" memberValueDatatype="20" unbalanced="0"/>
    <cacheHierarchy uniqueName="[Table2].[اجمالي بدون ضريبة]" caption="اجمالي بدون ضريبة" attribute="1" defaultMemberUniqueName="[Table2].[اجمالي بدون ضريبة].[All]" allUniqueName="[Table2].[اجمالي بدون ضريبة].[All]" dimensionUniqueName="[Table2]" displayFolder="" count="0" memberValueDatatype="5" unbalanced="0"/>
    <cacheHierarchy uniqueName="[Table2].[ضريبة]" caption="ضريبة" attribute="1" defaultMemberUniqueName="[Table2].[ضريبة].[All]" allUniqueName="[Table2].[ضريبة].[All]" dimensionUniqueName="[Table2]" displayFolder="" count="0" memberValueDatatype="5" unbalanced="0"/>
    <cacheHierarchy uniqueName="[Table2].[الإجمالي مع الضريبة]" caption="الإجمالي مع الضريبة" attribute="1" defaultMemberUniqueName="[Table2].[الإجمالي مع الضريبة].[All]" allUniqueName="[Table2].[الإجمالي مع الضريبة].[All]" dimensionUniqueName="[Table2]" displayFolder="" count="0" memberValueDatatype="5" unbalanced="0"/>
    <cacheHierarchy uniqueName="[Table2].[اجمالي الربح]" caption="اجمالي الربح" attribute="1" defaultMemberUniqueName="[Table2].[اجمالي الربح].[All]" allUniqueName="[Table2].[اجمالي الربح].[All]" dimensionUniqueName="[Table2]" displayFolder="" count="0" memberValueDatatype="5" unbalanced="0"/>
    <cacheHierarchy uniqueName="[Table1].[تاريخ بداية التقديم (Month Index)]" caption="تاريخ بداية التقديم (Month Index)" attribute="1" defaultMemberUniqueName="[Table1].[تاريخ بداية التقديم (Month Index)].[All]" allUniqueName="[Table1].[تاريخ بداية التقديم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تاريخ بداية التقديم]" caption="Count of تاريخ بداية التقديم" measure="1" displayFolder="" measureGroup="Table1" count="0" hidden="1">
      <extLst>
        <ext xmlns:x15="http://schemas.microsoft.com/office/spreadsheetml/2010/11/main" uri="{B97F6D7D-B522-45F9-BDA1-12C45D357490}">
          <x15:cacheHierarchy aggregatedColumn="5"/>
        </ext>
      </extLst>
    </cacheHierarchy>
    <cacheHierarchy uniqueName="[Measures].[Count of اسم المشروع]" caption="Count of اسم المشروع"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الجهة الحكومية]" caption="Count of الجهة الحكومية" measure="1" displayFolder="" measureGroup="Table2" count="0" hidden="1">
      <extLst>
        <ext xmlns:x15="http://schemas.microsoft.com/office/spreadsheetml/2010/11/main" uri="{B97F6D7D-B522-45F9-BDA1-12C45D357490}">
          <x15:cacheHierarchy aggregatedColumn="18"/>
        </ext>
      </extLst>
    </cacheHierarchy>
    <cacheHierarchy uniqueName="[Measures].[Distinct Count of الجهة الحكومية]" caption="Distinct Count of الجهة الحكومية" measure="1" displayFolder="" measureGroup="Table2" count="0" hidden="1">
      <extLst>
        <ext xmlns:x15="http://schemas.microsoft.com/office/spreadsheetml/2010/11/main" uri="{B97F6D7D-B522-45F9-BDA1-12C45D357490}">
          <x15:cacheHierarchy aggregatedColumn="18"/>
        </ext>
      </extLst>
    </cacheHierarchy>
    <cacheHierarchy uniqueName="[Measures].[Sum of قيمة المشروع]" caption="Sum of قيمة المشروع" measure="1" displayFolder="" measureGroup="Table1" count="0" hidden="1">
      <extLst>
        <ext xmlns:x15="http://schemas.microsoft.com/office/spreadsheetml/2010/11/main" uri="{B97F6D7D-B522-45F9-BDA1-12C45D357490}">
          <x15:cacheHierarchy aggregatedColumn="8"/>
        </ext>
      </extLst>
    </cacheHierarchy>
    <cacheHierarchy uniqueName="[Measures].[Sum of نسبة الربحية المتوقعة]" caption="Sum of نسبة الربحية المتوقعة" measure="1" displayFolder="" measureGroup="Table1" count="0" hidden="1">
      <extLst>
        <ext xmlns:x15="http://schemas.microsoft.com/office/spreadsheetml/2010/11/main" uri="{B97F6D7D-B522-45F9-BDA1-12C45D357490}">
          <x15:cacheHierarchy aggregatedColumn="11"/>
        </ext>
      </extLst>
    </cacheHierarchy>
    <cacheHierarchy uniqueName="[Measures].[Sum of الكمية]" caption="Sum of الكمية" measure="1" displayFolder="" measureGroup="Table2" count="0" hidden="1">
      <extLst>
        <ext xmlns:x15="http://schemas.microsoft.com/office/spreadsheetml/2010/11/main" uri="{B97F6D7D-B522-45F9-BDA1-12C45D357490}">
          <x15:cacheHierarchy aggregatedColumn="28"/>
        </ext>
      </extLst>
    </cacheHierarchy>
    <cacheHierarchy uniqueName="[Measures].[Sum of اجمالي بدون ضريبة]" caption="Sum of اجمالي بدون ضريبة" measure="1" displayFolder="" measureGroup="Table2" count="0" hidden="1">
      <extLst>
        <ext xmlns:x15="http://schemas.microsoft.com/office/spreadsheetml/2010/11/main" uri="{B97F6D7D-B522-45F9-BDA1-12C45D357490}">
          <x15:cacheHierarchy aggregatedColumn="29"/>
        </ext>
      </extLst>
    </cacheHierarchy>
    <cacheHierarchy uniqueName="[Measures].[Sum of ضريبة]" caption="Sum of ضريبة" measure="1" displayFolder="" measureGroup="Table2" count="0" hidden="1">
      <extLst>
        <ext xmlns:x15="http://schemas.microsoft.com/office/spreadsheetml/2010/11/main" uri="{B97F6D7D-B522-45F9-BDA1-12C45D357490}">
          <x15:cacheHierarchy aggregatedColumn="30"/>
        </ext>
      </extLst>
    </cacheHierarchy>
    <cacheHierarchy uniqueName="[Measures].[Sum of الإجمالي مع الضريبة]" caption="Sum of الإجمالي مع الضريبة" measure="1" displayFolder="" measureGroup="Table2" count="0" hidden="1">
      <extLst>
        <ext xmlns:x15="http://schemas.microsoft.com/office/spreadsheetml/2010/11/main" uri="{B97F6D7D-B522-45F9-BDA1-12C45D357490}">
          <x15:cacheHierarchy aggregatedColumn="31"/>
        </ext>
      </extLst>
    </cacheHierarchy>
    <cacheHierarchy uniqueName="[Measures].[Sum of اجمالي الربح]" caption="Sum of اجمالي الربح" measure="1" displayFolder="" measureGroup="Table2" count="0" hidden="1">
      <extLst>
        <ext xmlns:x15="http://schemas.microsoft.com/office/spreadsheetml/2010/11/main" uri="{B97F6D7D-B522-45F9-BDA1-12C45D357490}">
          <x15:cacheHierarchy aggregatedColumn="32"/>
        </ext>
      </extLst>
    </cacheHierarchy>
    <cacheHierarchy uniqueName="[Measures].[Sum of تكلفة الحبة اللواحدة]" caption="Sum of تكلفة الحبة اللواحدة" measure="1" displayFolder="" measureGroup="Table2" count="0" hidden="1">
      <extLst>
        <ext xmlns:x15="http://schemas.microsoft.com/office/spreadsheetml/2010/11/main" uri="{B97F6D7D-B522-45F9-BDA1-12C45D357490}">
          <x15:cacheHierarchy aggregatedColumn="21"/>
        </ext>
      </extLst>
    </cacheHierarchy>
    <cacheHierarchy uniqueName="[Measures].[Sum of التكاليف  التشغيلية 20%]" caption="Sum of التكاليف  التشغيلية 20%" measure="1" displayFolder="" measureGroup="Table2" count="0" hidden="1"/>
    <cacheHierarchy uniqueName="[Measures].[Sum of المخاطرة 10% ( تحسب تلقائيا )]" caption="Sum of المخاطرة 10% ( تحسب تلقائيا )" measure="1" displayFolder="" measureGroup="Table2" count="0" hidden="1">
      <extLst>
        <ext xmlns:x15="http://schemas.microsoft.com/office/spreadsheetml/2010/11/main" uri="{B97F6D7D-B522-45F9-BDA1-12C45D357490}">
          <x15:cacheHierarchy aggregatedColumn="24"/>
        </ext>
      </extLst>
    </cacheHierarchy>
    <cacheHierarchy uniqueName="[Measures].[Sum of إجمالي التكاليف]" caption="Sum of إجمالي التكاليف" measure="1" displayFolder="" measureGroup="Table2" count="0" hidden="1"/>
    <cacheHierarchy uniqueName="[Measures].[Sum of ضريبة المنتج الواحد]" caption="Sum of ضريبة المنتج الواحد" measure="1" displayFolder="" measureGroup="Table2" count="0" hidden="1">
      <extLst>
        <ext xmlns:x15="http://schemas.microsoft.com/office/spreadsheetml/2010/11/main" uri="{B97F6D7D-B522-45F9-BDA1-12C45D357490}">
          <x15:cacheHierarchy aggregatedColumn="26"/>
        </ext>
      </extLst>
    </cacheHierarchy>
    <cacheHierarchy uniqueName="[Measures].[Sum of الإجمالي للبيع]" caption="Sum of الإجمالي للبيع" measure="1" displayFolder="" measureGroup="Table2" count="0" hidden="1">
      <extLst>
        <ext xmlns:x15="http://schemas.microsoft.com/office/spreadsheetml/2010/11/main" uri="{B97F6D7D-B522-45F9-BDA1-12C45D357490}">
          <x15:cacheHierarchy aggregatedColumn="27"/>
        </ext>
      </extLst>
    </cacheHierarchy>
    <cacheHierarchy uniqueName="[Measures].[Distinct Count of اسم المشروع]" caption="Distinct Count of اسم المشروع" measure="1" displayFolder="" measureGroup="Table1" count="0" hidden="1">
      <extLst>
        <ext xmlns:x15="http://schemas.microsoft.com/office/spreadsheetml/2010/11/main" uri="{B97F6D7D-B522-45F9-BDA1-12C45D357490}">
          <x15:cacheHierarchy aggregatedColumn="0"/>
        </ext>
      </extLst>
    </cacheHierarchy>
    <cacheHierarchy uniqueName="[Measures].[Count of حالة المشروع]" caption="Count of حالة المشروع" measure="1" displayFolder="" measureGroup="Table1" count="0" hidden="1">
      <extLst>
        <ext xmlns:x15="http://schemas.microsoft.com/office/spreadsheetml/2010/11/main" uri="{B97F6D7D-B522-45F9-BDA1-12C45D357490}">
          <x15:cacheHierarchy aggregatedColumn="9"/>
        </ext>
      </extLst>
    </cacheHierarchy>
    <cacheHierarchy uniqueName="[Measures].[Sum of قيمة الكراسة]" caption="Sum of قيمة الكراسة" measure="1" displayFolder="" measureGroup="Table1" count="0" hidden="1">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633.856833564816" backgroundQuery="1" createdVersion="8" refreshedVersion="8" minRefreshableVersion="3" recordCount="0" supportSubquery="1" supportAdvancedDrill="1" xr:uid="{D5F2F4E9-3D2D-4F2D-BCFB-63F1F68B8F7C}">
  <cacheSource type="external" connectionId="1"/>
  <cacheFields count="3">
    <cacheField name="[Table1].[الجهة الحكومية].[الجهة الحكومية]" caption="الجهة الحكومية" numFmtId="0" hierarchy="1" level="1">
      <sharedItems count="3">
        <s v="وزارة التعليم"/>
        <s v="وزارة الشباب"/>
        <s v="وزارة الصحة"/>
      </sharedItems>
    </cacheField>
    <cacheField name="[Measures].[Count of اسم المشروع]" caption="Count of اسم المشروع" numFmtId="0" hierarchy="38" level="32767"/>
    <cacheField name="[Table1].[تاريخ بداية التقديم (Month)].[تاريخ بداية التقديم (Month)]" caption="تاريخ بداية التقديم (Month)" numFmtId="0" hierarchy="14" level="1">
      <sharedItems containsSemiMixedTypes="0" containsNonDate="0" containsString="0"/>
    </cacheField>
  </cacheFields>
  <cacheHierarchies count="57">
    <cacheHierarchy uniqueName="[Table1].[اسم المشروع]" caption="اسم المشروع" attribute="1" defaultMemberUniqueName="[Table1].[اسم المشروع].[All]" allUniqueName="[Table1].[اسم المشروع].[All]" dimensionUniqueName="[Table1]" displayFolder="" count="2" memberValueDatatype="130" unbalanced="0"/>
    <cacheHierarchy uniqueName="[Table1].[الجهة الحكومية]" caption="الجهة الحكومية" attribute="1" defaultMemberUniqueName="[Table1].[الجهة الحكومية].[All]" allUniqueName="[Table1].[الجهة الحكومية].[All]" dimensionUniqueName="[Table1]" displayFolder="" count="2" memberValueDatatype="130" unbalanced="0">
      <fieldsUsage count="2">
        <fieldUsage x="-1"/>
        <fieldUsage x="0"/>
      </fieldsUsage>
    </cacheHierarchy>
    <cacheHierarchy uniqueName="[Table1].[المنطقة]" caption="المنطقة" attribute="1" defaultMemberUniqueName="[Table1].[المنطقة].[All]" allUniqueName="[Table1].[المنطقة].[All]" dimensionUniqueName="[Table1]" displayFolder="" count="0" memberValueDatatype="130" unbalanced="0"/>
    <cacheHierarchy uniqueName="[Table1].[رقم المناقصة]" caption="رقم المناقصة" attribute="1" defaultMemberUniqueName="[Table1].[رقم المناقصة].[All]" allUniqueName="[Table1].[رقم المناقصة].[All]" dimensionUniqueName="[Table1]" displayFolder="" count="0" memberValueDatatype="5" unbalanced="0"/>
    <cacheHierarchy uniqueName="[Table1].[تفاصيل المناقصة]" caption="تفاصيل المناقصة" attribute="1" defaultMemberUniqueName="[Table1].[تفاصيل المناقصة].[All]" allUniqueName="[Table1].[تفاصيل المناقصة].[All]" dimensionUniqueName="[Table1]" displayFolder="" count="0" memberValueDatatype="130" unbalanced="0"/>
    <cacheHierarchy uniqueName="[Table1].[تاريخ بداية التقديم]" caption="تاريخ بداية التقديم" attribute="1" time="1" defaultMemberUniqueName="[Table1].[تاريخ بداية التقديم].[All]" allUniqueName="[Table1].[تاريخ بداية التقديم].[All]" dimensionUniqueName="[Table1]" displayFolder="" count="0" memberValueDatatype="7" unbalanced="0"/>
    <cacheHierarchy uniqueName="[Table1].[تاريخ انتهاء التقديم]" caption="تاريخ انتهاء التقديم" attribute="1" time="1" defaultMemberUniqueName="[Table1].[تاريخ انتهاء التقديم].[All]" allUniqueName="[Table1].[تاريخ انتهاء التقديم].[All]" dimensionUniqueName="[Table1]" displayFolder="" count="0" memberValueDatatype="7" unbalanced="0"/>
    <cacheHierarchy uniqueName="[Table1].[قيمة الكراسة]" caption="قيمة الكراسة" attribute="1" defaultMemberUniqueName="[Table1].[قيمة الكراسة].[All]" allUniqueName="[Table1].[قيمة الكراسة].[All]" dimensionUniqueName="[Table1]" displayFolder="" count="0" memberValueDatatype="5" unbalanced="0"/>
    <cacheHierarchy uniqueName="[Table1].[قيمة المشروع]" caption="قيمة المشروع" attribute="1" defaultMemberUniqueName="[Table1].[قيمة المشروع].[All]" allUniqueName="[Table1].[قيمة المشروع].[All]" dimensionUniqueName="[Table1]" displayFolder="" count="0" memberValueDatatype="20" unbalanced="0"/>
    <cacheHierarchy uniqueName="[Table1].[حالة المشروع]" caption="حالة المشروع" attribute="1" defaultMemberUniqueName="[Table1].[حالة المشروع].[All]" allUniqueName="[Table1].[حالة المشروع].[All]" dimensionUniqueName="[Table1]" displayFolder="" count="0" memberValueDatatype="130" unbalanced="0"/>
    <cacheHierarchy uniqueName="[Table1].[الفرق]" caption="الفرق" attribute="1" defaultMemberUniqueName="[Table1].[الفرق].[All]" allUniqueName="[Table1].[الفرق].[All]" dimensionUniqueName="[Table1]" displayFolder="" count="0" memberValueDatatype="5" unbalanced="0"/>
    <cacheHierarchy uniqueName="[Table1].[نسبة الربحية المتوقعة]" caption="نسبة الربحية المتوقعة" attribute="1" defaultMemberUniqueName="[Table1].[نسبة الربحية المتوقعة].[All]" allUniqueName="[Table1].[نسبة الربحية المتوقعة].[All]" dimensionUniqueName="[Table1]" displayFolder="" count="0" memberValueDatatype="5" unbalanced="0"/>
    <cacheHierarchy uniqueName="[Table1].[تاريخ بداية التقديم (Year)]" caption="تاريخ بداية التقديم (Year)" attribute="1" defaultMemberUniqueName="[Table1].[تاريخ بداية التقديم (Year)].[All]" allUniqueName="[Table1].[تاريخ بداية التقديم (Year)].[All]" dimensionUniqueName="[Table1]" displayFolder="" count="2" memberValueDatatype="130" unbalanced="0"/>
    <cacheHierarchy uniqueName="[Table1].[تاريخ بداية التقديم (Quarter)]" caption="تاريخ بداية التقديم (Quarter)" attribute="1" defaultMemberUniqueName="[Table1].[تاريخ بداية التقديم (Quarter)].[All]" allUniqueName="[Table1].[تاريخ بداية التقديم (Quarter)].[All]" dimensionUniqueName="[Table1]" displayFolder="" count="0" memberValueDatatype="130" unbalanced="0"/>
    <cacheHierarchy uniqueName="[Table1].[تاريخ بداية التقديم (Month)]" caption="تاريخ بداية التقديم (Month)" attribute="1" defaultMemberUniqueName="[Table1].[تاريخ بداية التقديم (Month)].[All]" allUniqueName="[Table1].[تاريخ بداية التقديم (Month)].[All]" dimensionUniqueName="[Table1]" displayFolder="" count="2" memberValueDatatype="130" unbalanced="0">
      <fieldsUsage count="2">
        <fieldUsage x="-1"/>
        <fieldUsage x="2"/>
      </fieldsUsage>
    </cacheHierarchy>
    <cacheHierarchy uniqueName="[Table1].[قيمة الربح]" caption="قيمة الربح" attribute="1" defaultMemberUniqueName="[Table1].[قيمة الربح].[All]" allUniqueName="[Table1].[قيمة الربح].[All]" dimensionUniqueName="[Table1]" displayFolder="" count="0" memberValueDatatype="5" unbalanced="0"/>
    <cacheHierarchy uniqueName="[Table1].[قيمة العمولات]" caption="قيمة العمولات" attribute="1" defaultMemberUniqueName="[Table1].[قيمة العمولات].[All]" allUniqueName="[Table1].[قيمة العمولات].[All]" dimensionUniqueName="[Table1]" displayFolder="" count="0" memberValueDatatype="20" unbalanced="0"/>
    <cacheHierarchy uniqueName="[Table2].[اسم المشروع]" caption="اسم المشروع" attribute="1" defaultMemberUniqueName="[Table2].[اسم المشروع].[All]" allUniqueName="[Table2].[اسم المشروع].[All]" dimensionUniqueName="[Table2]" displayFolder="" count="0" memberValueDatatype="130" unbalanced="0"/>
    <cacheHierarchy uniqueName="[Table2].[الجهة الحكومية]" caption="الجهة الحكومية" attribute="1" defaultMemberUniqueName="[Table2].[الجهة الحكومية].[All]" allUniqueName="[Table2].[الجهة الحكومية].[All]" dimensionUniqueName="[Table2]" displayFolder="" count="0" memberValueDatatype="130" unbalanced="0"/>
    <cacheHierarchy uniqueName="[Table2].[المخرج]" caption="المخرج" attribute="1" defaultMemberUniqueName="[Table2].[المخرج].[All]" allUniqueName="[Table2].[المخرج].[All]" dimensionUniqueName="[Table2]" displayFolder="" count="0" memberValueDatatype="130" unbalanced="0"/>
    <cacheHierarchy uniqueName="[Table2].[الوحدة]" caption="الوحدة" attribute="1" defaultMemberUniqueName="[Table2].[الوحدة].[All]" allUniqueName="[Table2].[الوحدة].[All]" dimensionUniqueName="[Table2]" displayFolder="" count="0" memberValueDatatype="130" unbalanced="0"/>
    <cacheHierarchy uniqueName="[Table2].[تكلفة الحبة اللواحدة]" caption="تكلفة الحبة اللواحدة" attribute="1" defaultMemberUniqueName="[Table2].[تكلفة الحبة اللواحدة].[All]" allUniqueName="[Table2].[تكلفة الحبة اللواحدة].[All]" dimensionUniqueName="[Table2]" displayFolder="" count="0" memberValueDatatype="20" unbalanced="0"/>
    <cacheHierarchy uniqueName="[Table2].[إجمالي التكاليف للحبة الواحدة]" caption="إجمالي التكاليف للحبة الواحدة" attribute="1" defaultMemberUniqueName="[Table2].[إجمالي التكاليف للحبة الواحدة].[All]" allUniqueName="[Table2].[إجمالي التكاليف للحبة الواحدة].[All]" dimensionUniqueName="[Table2]" displayFolder="" count="0" memberValueDatatype="20" unbalanced="0"/>
    <cacheHierarchy uniqueName="[Table2].[التكاليف  التشغيلية 20%]" caption="التكاليف  التشغيلية 20%" attribute="1" defaultMemberUniqueName="[Table2].[التكاليف  التشغيلية 20%].[All]" allUniqueName="[Table2].[التكاليف  التشغيلية 20%].[All]" dimensionUniqueName="[Table2]" displayFolder="" count="0" memberValueDatatype="5" unbalanced="0"/>
    <cacheHierarchy uniqueName="[Table2].[المخاطرة 10% ( تحسب تلقائيا )]" caption="المخاطرة 10% ( تحسب تلقائيا )" attribute="1" defaultMemberUniqueName="[Table2].[المخاطرة 10% ( تحسب تلقائيا )].[All]" allUniqueName="[Table2].[المخاطرة 10% ( تحسب تلقائيا )].[All]" dimensionUniqueName="[Table2]" displayFolder="" count="0" memberValueDatatype="5" unbalanced="0"/>
    <cacheHierarchy uniqueName="[Table2].[إجمالي التكاليف]" caption="إجمالي التكاليف" attribute="1" defaultMemberUniqueName="[Table2].[إجمالي التكاليف].[All]" allUniqueName="[Table2].[إجمالي التكاليف].[All]" dimensionUniqueName="[Table2]" displayFolder="" count="0" memberValueDatatype="5" unbalanced="0"/>
    <cacheHierarchy uniqueName="[Table2].[ضريبة المنتج الواحد]" caption="ضريبة المنتج الواحد" attribute="1" defaultMemberUniqueName="[Table2].[ضريبة المنتج الواحد].[All]" allUniqueName="[Table2].[ضريبة المنتج الواحد].[All]" dimensionUniqueName="[Table2]" displayFolder="" count="0" memberValueDatatype="5" unbalanced="0"/>
    <cacheHierarchy uniqueName="[Table2].[الإجمالي للبيع]" caption="الإجمالي للبيع" attribute="1" defaultMemberUniqueName="[Table2].[الإجمالي للبيع].[All]" allUniqueName="[Table2].[الإجمالي للبيع].[All]" dimensionUniqueName="[Table2]" displayFolder="" count="0" memberValueDatatype="5" unbalanced="0"/>
    <cacheHierarchy uniqueName="[Table2].[الكمية]" caption="الكمية" attribute="1" defaultMemberUniqueName="[Table2].[الكمية].[All]" allUniqueName="[Table2].[الكمية].[All]" dimensionUniqueName="[Table2]" displayFolder="" count="0" memberValueDatatype="20" unbalanced="0"/>
    <cacheHierarchy uniqueName="[Table2].[اجمالي بدون ضريبة]" caption="اجمالي بدون ضريبة" attribute="1" defaultMemberUniqueName="[Table2].[اجمالي بدون ضريبة].[All]" allUniqueName="[Table2].[اجمالي بدون ضريبة].[All]" dimensionUniqueName="[Table2]" displayFolder="" count="0" memberValueDatatype="5" unbalanced="0"/>
    <cacheHierarchy uniqueName="[Table2].[ضريبة]" caption="ضريبة" attribute="1" defaultMemberUniqueName="[Table2].[ضريبة].[All]" allUniqueName="[Table2].[ضريبة].[All]" dimensionUniqueName="[Table2]" displayFolder="" count="0" memberValueDatatype="5" unbalanced="0"/>
    <cacheHierarchy uniqueName="[Table2].[الإجمالي مع الضريبة]" caption="الإجمالي مع الضريبة" attribute="1" defaultMemberUniqueName="[Table2].[الإجمالي مع الضريبة].[All]" allUniqueName="[Table2].[الإجمالي مع الضريبة].[All]" dimensionUniqueName="[Table2]" displayFolder="" count="0" memberValueDatatype="5" unbalanced="0"/>
    <cacheHierarchy uniqueName="[Table2].[اجمالي الربح]" caption="اجمالي الربح" attribute="1" defaultMemberUniqueName="[Table2].[اجمالي الربح].[All]" allUniqueName="[Table2].[اجمالي الربح].[All]" dimensionUniqueName="[Table2]" displayFolder="" count="0" memberValueDatatype="5" unbalanced="0"/>
    <cacheHierarchy uniqueName="[Table1].[تاريخ بداية التقديم (Month Index)]" caption="تاريخ بداية التقديم (Month Index)" attribute="1" defaultMemberUniqueName="[Table1].[تاريخ بداية التقديم (Month Index)].[All]" allUniqueName="[Table1].[تاريخ بداية التقديم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تاريخ بداية التقديم]" caption="Count of تاريخ بداية التقديم" measure="1" displayFolder="" measureGroup="Table1" count="0" hidden="1">
      <extLst>
        <ext xmlns:x15="http://schemas.microsoft.com/office/spreadsheetml/2010/11/main" uri="{B97F6D7D-B522-45F9-BDA1-12C45D357490}">
          <x15:cacheHierarchy aggregatedColumn="5"/>
        </ext>
      </extLst>
    </cacheHierarchy>
    <cacheHierarchy uniqueName="[Measures].[Count of اسم المشروع]" caption="Count of اسم المشروع"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الجهة الحكومية]" caption="Count of الجهة الحكومية" measure="1" displayFolder="" measureGroup="Table2" count="0" hidden="1">
      <extLst>
        <ext xmlns:x15="http://schemas.microsoft.com/office/spreadsheetml/2010/11/main" uri="{B97F6D7D-B522-45F9-BDA1-12C45D357490}">
          <x15:cacheHierarchy aggregatedColumn="18"/>
        </ext>
      </extLst>
    </cacheHierarchy>
    <cacheHierarchy uniqueName="[Measures].[Distinct Count of الجهة الحكومية]" caption="Distinct Count of الجهة الحكومية" measure="1" displayFolder="" measureGroup="Table2" count="0" hidden="1">
      <extLst>
        <ext xmlns:x15="http://schemas.microsoft.com/office/spreadsheetml/2010/11/main" uri="{B97F6D7D-B522-45F9-BDA1-12C45D357490}">
          <x15:cacheHierarchy aggregatedColumn="18"/>
        </ext>
      </extLst>
    </cacheHierarchy>
    <cacheHierarchy uniqueName="[Measures].[Sum of قيمة المشروع]" caption="Sum of قيمة المشروع" measure="1" displayFolder="" measureGroup="Table1" count="0" hidden="1">
      <extLst>
        <ext xmlns:x15="http://schemas.microsoft.com/office/spreadsheetml/2010/11/main" uri="{B97F6D7D-B522-45F9-BDA1-12C45D357490}">
          <x15:cacheHierarchy aggregatedColumn="8"/>
        </ext>
      </extLst>
    </cacheHierarchy>
    <cacheHierarchy uniqueName="[Measures].[Sum of نسبة الربحية المتوقعة]" caption="Sum of نسبة الربحية المتوقعة" measure="1" displayFolder="" measureGroup="Table1" count="0" hidden="1">
      <extLst>
        <ext xmlns:x15="http://schemas.microsoft.com/office/spreadsheetml/2010/11/main" uri="{B97F6D7D-B522-45F9-BDA1-12C45D357490}">
          <x15:cacheHierarchy aggregatedColumn="11"/>
        </ext>
      </extLst>
    </cacheHierarchy>
    <cacheHierarchy uniqueName="[Measures].[Sum of الكمية]" caption="Sum of الكمية" measure="1" displayFolder="" measureGroup="Table2" count="0" hidden="1">
      <extLst>
        <ext xmlns:x15="http://schemas.microsoft.com/office/spreadsheetml/2010/11/main" uri="{B97F6D7D-B522-45F9-BDA1-12C45D357490}">
          <x15:cacheHierarchy aggregatedColumn="28"/>
        </ext>
      </extLst>
    </cacheHierarchy>
    <cacheHierarchy uniqueName="[Measures].[Sum of اجمالي بدون ضريبة]" caption="Sum of اجمالي بدون ضريبة" measure="1" displayFolder="" measureGroup="Table2" count="0" hidden="1">
      <extLst>
        <ext xmlns:x15="http://schemas.microsoft.com/office/spreadsheetml/2010/11/main" uri="{B97F6D7D-B522-45F9-BDA1-12C45D357490}">
          <x15:cacheHierarchy aggregatedColumn="29"/>
        </ext>
      </extLst>
    </cacheHierarchy>
    <cacheHierarchy uniqueName="[Measures].[Sum of ضريبة]" caption="Sum of ضريبة" measure="1" displayFolder="" measureGroup="Table2" count="0" hidden="1">
      <extLst>
        <ext xmlns:x15="http://schemas.microsoft.com/office/spreadsheetml/2010/11/main" uri="{B97F6D7D-B522-45F9-BDA1-12C45D357490}">
          <x15:cacheHierarchy aggregatedColumn="30"/>
        </ext>
      </extLst>
    </cacheHierarchy>
    <cacheHierarchy uniqueName="[Measures].[Sum of الإجمالي مع الضريبة]" caption="Sum of الإجمالي مع الضريبة" measure="1" displayFolder="" measureGroup="Table2" count="0" hidden="1">
      <extLst>
        <ext xmlns:x15="http://schemas.microsoft.com/office/spreadsheetml/2010/11/main" uri="{B97F6D7D-B522-45F9-BDA1-12C45D357490}">
          <x15:cacheHierarchy aggregatedColumn="31"/>
        </ext>
      </extLst>
    </cacheHierarchy>
    <cacheHierarchy uniqueName="[Measures].[Sum of اجمالي الربح]" caption="Sum of اجمالي الربح" measure="1" displayFolder="" measureGroup="Table2" count="0" hidden="1">
      <extLst>
        <ext xmlns:x15="http://schemas.microsoft.com/office/spreadsheetml/2010/11/main" uri="{B97F6D7D-B522-45F9-BDA1-12C45D357490}">
          <x15:cacheHierarchy aggregatedColumn="32"/>
        </ext>
      </extLst>
    </cacheHierarchy>
    <cacheHierarchy uniqueName="[Measures].[Sum of تكلفة الحبة اللواحدة]" caption="Sum of تكلفة الحبة اللواحدة" measure="1" displayFolder="" measureGroup="Table2" count="0" hidden="1">
      <extLst>
        <ext xmlns:x15="http://schemas.microsoft.com/office/spreadsheetml/2010/11/main" uri="{B97F6D7D-B522-45F9-BDA1-12C45D357490}">
          <x15:cacheHierarchy aggregatedColumn="21"/>
        </ext>
      </extLst>
    </cacheHierarchy>
    <cacheHierarchy uniqueName="[Measures].[Sum of التكاليف  التشغيلية 20%]" caption="Sum of التكاليف  التشغيلية 20%" measure="1" displayFolder="" measureGroup="Table2" count="0" hidden="1"/>
    <cacheHierarchy uniqueName="[Measures].[Sum of المخاطرة 10% ( تحسب تلقائيا )]" caption="Sum of المخاطرة 10% ( تحسب تلقائيا )" measure="1" displayFolder="" measureGroup="Table2" count="0" hidden="1">
      <extLst>
        <ext xmlns:x15="http://schemas.microsoft.com/office/spreadsheetml/2010/11/main" uri="{B97F6D7D-B522-45F9-BDA1-12C45D357490}">
          <x15:cacheHierarchy aggregatedColumn="24"/>
        </ext>
      </extLst>
    </cacheHierarchy>
    <cacheHierarchy uniqueName="[Measures].[Sum of إجمالي التكاليف]" caption="Sum of إجمالي التكاليف" measure="1" displayFolder="" measureGroup="Table2" count="0" hidden="1"/>
    <cacheHierarchy uniqueName="[Measures].[Sum of ضريبة المنتج الواحد]" caption="Sum of ضريبة المنتج الواحد" measure="1" displayFolder="" measureGroup="Table2" count="0" hidden="1">
      <extLst>
        <ext xmlns:x15="http://schemas.microsoft.com/office/spreadsheetml/2010/11/main" uri="{B97F6D7D-B522-45F9-BDA1-12C45D357490}">
          <x15:cacheHierarchy aggregatedColumn="26"/>
        </ext>
      </extLst>
    </cacheHierarchy>
    <cacheHierarchy uniqueName="[Measures].[Sum of الإجمالي للبيع]" caption="Sum of الإجمالي للبيع" measure="1" displayFolder="" measureGroup="Table2" count="0" hidden="1">
      <extLst>
        <ext xmlns:x15="http://schemas.microsoft.com/office/spreadsheetml/2010/11/main" uri="{B97F6D7D-B522-45F9-BDA1-12C45D357490}">
          <x15:cacheHierarchy aggregatedColumn="27"/>
        </ext>
      </extLst>
    </cacheHierarchy>
    <cacheHierarchy uniqueName="[Measures].[Distinct Count of اسم المشروع]" caption="Distinct Count of اسم المشروع" measure="1" displayFolder="" measureGroup="Table1" count="0" hidden="1">
      <extLst>
        <ext xmlns:x15="http://schemas.microsoft.com/office/spreadsheetml/2010/11/main" uri="{B97F6D7D-B522-45F9-BDA1-12C45D357490}">
          <x15:cacheHierarchy aggregatedColumn="0"/>
        </ext>
      </extLst>
    </cacheHierarchy>
    <cacheHierarchy uniqueName="[Measures].[Count of حالة المشروع]" caption="Count of حالة المشروع" measure="1" displayFolder="" measureGroup="Table1" count="0" hidden="1">
      <extLst>
        <ext xmlns:x15="http://schemas.microsoft.com/office/spreadsheetml/2010/11/main" uri="{B97F6D7D-B522-45F9-BDA1-12C45D357490}">
          <x15:cacheHierarchy aggregatedColumn="9"/>
        </ext>
      </extLst>
    </cacheHierarchy>
    <cacheHierarchy uniqueName="[Measures].[Sum of قيمة الكراسة]" caption="Sum of قيمة الكراسة" measure="1" displayFolder="" measureGroup="Table1" count="0" hidden="1">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633.856836342595" backgroundQuery="1" createdVersion="8" refreshedVersion="8" minRefreshableVersion="3" recordCount="0" supportSubquery="1" supportAdvancedDrill="1" xr:uid="{4887FE7C-AF88-4347-8BD2-9A79CFBCC6B0}">
  <cacheSource type="external" connectionId="1"/>
  <cacheFields count="3">
    <cacheField name="[Measures].[Distinct Count of الجهة الحكومية]" caption="Distinct Count of الجهة الحكومية" numFmtId="0" hierarchy="40" level="32767"/>
    <cacheField name="[Table1].[تاريخ بداية التقديم (Month)].[تاريخ بداية التقديم (Month)]" caption="تاريخ بداية التقديم (Month)" numFmtId="0" hierarchy="14" level="1">
      <sharedItems containsSemiMixedTypes="0" containsNonDate="0" containsString="0"/>
    </cacheField>
    <cacheField name="[Table1].[الجهة الحكومية].[الجهة الحكومية]" caption="الجهة الحكومية" numFmtId="0" hierarchy="1" level="1">
      <sharedItems containsSemiMixedTypes="0" containsNonDate="0" containsString="0"/>
    </cacheField>
  </cacheFields>
  <cacheHierarchies count="57">
    <cacheHierarchy uniqueName="[Table1].[اسم المشروع]" caption="اسم المشروع" attribute="1" defaultMemberUniqueName="[Table1].[اسم المشروع].[All]" allUniqueName="[Table1].[اسم المشروع].[All]" dimensionUniqueName="[Table1]" displayFolder="" count="2" memberValueDatatype="130" unbalanced="0"/>
    <cacheHierarchy uniqueName="[Table1].[الجهة الحكومية]" caption="الجهة الحكومية" attribute="1" defaultMemberUniqueName="[Table1].[الجهة الحكومية].[All]" allUniqueName="[Table1].[الجهة الحكومية].[All]" dimensionUniqueName="[Table1]" displayFolder="" count="2" memberValueDatatype="130" unbalanced="0">
      <fieldsUsage count="2">
        <fieldUsage x="-1"/>
        <fieldUsage x="2"/>
      </fieldsUsage>
    </cacheHierarchy>
    <cacheHierarchy uniqueName="[Table1].[المنطقة]" caption="المنطقة" attribute="1" defaultMemberUniqueName="[Table1].[المنطقة].[All]" allUniqueName="[Table1].[المنطقة].[All]" dimensionUniqueName="[Table1]" displayFolder="" count="0" memberValueDatatype="130" unbalanced="0"/>
    <cacheHierarchy uniqueName="[Table1].[رقم المناقصة]" caption="رقم المناقصة" attribute="1" defaultMemberUniqueName="[Table1].[رقم المناقصة].[All]" allUniqueName="[Table1].[رقم المناقصة].[All]" dimensionUniqueName="[Table1]" displayFolder="" count="0" memberValueDatatype="5" unbalanced="0"/>
    <cacheHierarchy uniqueName="[Table1].[تفاصيل المناقصة]" caption="تفاصيل المناقصة" attribute="1" defaultMemberUniqueName="[Table1].[تفاصيل المناقصة].[All]" allUniqueName="[Table1].[تفاصيل المناقصة].[All]" dimensionUniqueName="[Table1]" displayFolder="" count="0" memberValueDatatype="130" unbalanced="0"/>
    <cacheHierarchy uniqueName="[Table1].[تاريخ بداية التقديم]" caption="تاريخ بداية التقديم" attribute="1" time="1" defaultMemberUniqueName="[Table1].[تاريخ بداية التقديم].[All]" allUniqueName="[Table1].[تاريخ بداية التقديم].[All]" dimensionUniqueName="[Table1]" displayFolder="" count="0" memberValueDatatype="7" unbalanced="0"/>
    <cacheHierarchy uniqueName="[Table1].[تاريخ انتهاء التقديم]" caption="تاريخ انتهاء التقديم" attribute="1" time="1" defaultMemberUniqueName="[Table1].[تاريخ انتهاء التقديم].[All]" allUniqueName="[Table1].[تاريخ انتهاء التقديم].[All]" dimensionUniqueName="[Table1]" displayFolder="" count="0" memberValueDatatype="7" unbalanced="0"/>
    <cacheHierarchy uniqueName="[Table1].[قيمة الكراسة]" caption="قيمة الكراسة" attribute="1" defaultMemberUniqueName="[Table1].[قيمة الكراسة].[All]" allUniqueName="[Table1].[قيمة الكراسة].[All]" dimensionUniqueName="[Table1]" displayFolder="" count="0" memberValueDatatype="5" unbalanced="0"/>
    <cacheHierarchy uniqueName="[Table1].[قيمة المشروع]" caption="قيمة المشروع" attribute="1" defaultMemberUniqueName="[Table1].[قيمة المشروع].[All]" allUniqueName="[Table1].[قيمة المشروع].[All]" dimensionUniqueName="[Table1]" displayFolder="" count="0" memberValueDatatype="20" unbalanced="0"/>
    <cacheHierarchy uniqueName="[Table1].[حالة المشروع]" caption="حالة المشروع" attribute="1" defaultMemberUniqueName="[Table1].[حالة المشروع].[All]" allUniqueName="[Table1].[حالة المشروع].[All]" dimensionUniqueName="[Table1]" displayFolder="" count="0" memberValueDatatype="130" unbalanced="0"/>
    <cacheHierarchy uniqueName="[Table1].[الفرق]" caption="الفرق" attribute="1" defaultMemberUniqueName="[Table1].[الفرق].[All]" allUniqueName="[Table1].[الفرق].[All]" dimensionUniqueName="[Table1]" displayFolder="" count="0" memberValueDatatype="5" unbalanced="0"/>
    <cacheHierarchy uniqueName="[Table1].[نسبة الربحية المتوقعة]" caption="نسبة الربحية المتوقعة" attribute="1" defaultMemberUniqueName="[Table1].[نسبة الربحية المتوقعة].[All]" allUniqueName="[Table1].[نسبة الربحية المتوقعة].[All]" dimensionUniqueName="[Table1]" displayFolder="" count="0" memberValueDatatype="5" unbalanced="0"/>
    <cacheHierarchy uniqueName="[Table1].[تاريخ بداية التقديم (Year)]" caption="تاريخ بداية التقديم (Year)" attribute="1" defaultMemberUniqueName="[Table1].[تاريخ بداية التقديم (Year)].[All]" allUniqueName="[Table1].[تاريخ بداية التقديم (Year)].[All]" dimensionUniqueName="[Table1]" displayFolder="" count="2" memberValueDatatype="130" unbalanced="0"/>
    <cacheHierarchy uniqueName="[Table1].[تاريخ بداية التقديم (Quarter)]" caption="تاريخ بداية التقديم (Quarter)" attribute="1" defaultMemberUniqueName="[Table1].[تاريخ بداية التقديم (Quarter)].[All]" allUniqueName="[Table1].[تاريخ بداية التقديم (Quarter)].[All]" dimensionUniqueName="[Table1]" displayFolder="" count="0" memberValueDatatype="130" unbalanced="0"/>
    <cacheHierarchy uniqueName="[Table1].[تاريخ بداية التقديم (Month)]" caption="تاريخ بداية التقديم (Month)" attribute="1" defaultMemberUniqueName="[Table1].[تاريخ بداية التقديم (Month)].[All]" allUniqueName="[Table1].[تاريخ بداية التقديم (Month)].[All]" dimensionUniqueName="[Table1]" displayFolder="" count="2" memberValueDatatype="130" unbalanced="0">
      <fieldsUsage count="2">
        <fieldUsage x="-1"/>
        <fieldUsage x="1"/>
      </fieldsUsage>
    </cacheHierarchy>
    <cacheHierarchy uniqueName="[Table1].[قيمة الربح]" caption="قيمة الربح" attribute="1" defaultMemberUniqueName="[Table1].[قيمة الربح].[All]" allUniqueName="[Table1].[قيمة الربح].[All]" dimensionUniqueName="[Table1]" displayFolder="" count="0" memberValueDatatype="5" unbalanced="0"/>
    <cacheHierarchy uniqueName="[Table1].[قيمة العمولات]" caption="قيمة العمولات" attribute="1" defaultMemberUniqueName="[Table1].[قيمة العمولات].[All]" allUniqueName="[Table1].[قيمة العمولات].[All]" dimensionUniqueName="[Table1]" displayFolder="" count="0" memberValueDatatype="20" unbalanced="0"/>
    <cacheHierarchy uniqueName="[Table2].[اسم المشروع]" caption="اسم المشروع" attribute="1" defaultMemberUniqueName="[Table2].[اسم المشروع].[All]" allUniqueName="[Table2].[اسم المشروع].[All]" dimensionUniqueName="[Table2]" displayFolder="" count="0" memberValueDatatype="130" unbalanced="0"/>
    <cacheHierarchy uniqueName="[Table2].[الجهة الحكومية]" caption="الجهة الحكومية" attribute="1" defaultMemberUniqueName="[Table2].[الجهة الحكومية].[All]" allUniqueName="[Table2].[الجهة الحكومية].[All]" dimensionUniqueName="[Table2]" displayFolder="" count="0" memberValueDatatype="130" unbalanced="0"/>
    <cacheHierarchy uniqueName="[Table2].[المخرج]" caption="المخرج" attribute="1" defaultMemberUniqueName="[Table2].[المخرج].[All]" allUniqueName="[Table2].[المخرج].[All]" dimensionUniqueName="[Table2]" displayFolder="" count="0" memberValueDatatype="130" unbalanced="0"/>
    <cacheHierarchy uniqueName="[Table2].[الوحدة]" caption="الوحدة" attribute="1" defaultMemberUniqueName="[Table2].[الوحدة].[All]" allUniqueName="[Table2].[الوحدة].[All]" dimensionUniqueName="[Table2]" displayFolder="" count="0" memberValueDatatype="130" unbalanced="0"/>
    <cacheHierarchy uniqueName="[Table2].[تكلفة الحبة اللواحدة]" caption="تكلفة الحبة اللواحدة" attribute="1" defaultMemberUniqueName="[Table2].[تكلفة الحبة اللواحدة].[All]" allUniqueName="[Table2].[تكلفة الحبة اللواحدة].[All]" dimensionUniqueName="[Table2]" displayFolder="" count="0" memberValueDatatype="20" unbalanced="0"/>
    <cacheHierarchy uniqueName="[Table2].[إجمالي التكاليف للحبة الواحدة]" caption="إجمالي التكاليف للحبة الواحدة" attribute="1" defaultMemberUniqueName="[Table2].[إجمالي التكاليف للحبة الواحدة].[All]" allUniqueName="[Table2].[إجمالي التكاليف للحبة الواحدة].[All]" dimensionUniqueName="[Table2]" displayFolder="" count="0" memberValueDatatype="20" unbalanced="0"/>
    <cacheHierarchy uniqueName="[Table2].[التكاليف  التشغيلية 20%]" caption="التكاليف  التشغيلية 20%" attribute="1" defaultMemberUniqueName="[Table2].[التكاليف  التشغيلية 20%].[All]" allUniqueName="[Table2].[التكاليف  التشغيلية 20%].[All]" dimensionUniqueName="[Table2]" displayFolder="" count="0" memberValueDatatype="5" unbalanced="0"/>
    <cacheHierarchy uniqueName="[Table2].[المخاطرة 10% ( تحسب تلقائيا )]" caption="المخاطرة 10% ( تحسب تلقائيا )" attribute="1" defaultMemberUniqueName="[Table2].[المخاطرة 10% ( تحسب تلقائيا )].[All]" allUniqueName="[Table2].[المخاطرة 10% ( تحسب تلقائيا )].[All]" dimensionUniqueName="[Table2]" displayFolder="" count="0" memberValueDatatype="5" unbalanced="0"/>
    <cacheHierarchy uniqueName="[Table2].[إجمالي التكاليف]" caption="إجمالي التكاليف" attribute="1" defaultMemberUniqueName="[Table2].[إجمالي التكاليف].[All]" allUniqueName="[Table2].[إجمالي التكاليف].[All]" dimensionUniqueName="[Table2]" displayFolder="" count="0" memberValueDatatype="5" unbalanced="0"/>
    <cacheHierarchy uniqueName="[Table2].[ضريبة المنتج الواحد]" caption="ضريبة المنتج الواحد" attribute="1" defaultMemberUniqueName="[Table2].[ضريبة المنتج الواحد].[All]" allUniqueName="[Table2].[ضريبة المنتج الواحد].[All]" dimensionUniqueName="[Table2]" displayFolder="" count="0" memberValueDatatype="5" unbalanced="0"/>
    <cacheHierarchy uniqueName="[Table2].[الإجمالي للبيع]" caption="الإجمالي للبيع" attribute="1" defaultMemberUniqueName="[Table2].[الإجمالي للبيع].[All]" allUniqueName="[Table2].[الإجمالي للبيع].[All]" dimensionUniqueName="[Table2]" displayFolder="" count="0" memberValueDatatype="5" unbalanced="0"/>
    <cacheHierarchy uniqueName="[Table2].[الكمية]" caption="الكمية" attribute="1" defaultMemberUniqueName="[Table2].[الكمية].[All]" allUniqueName="[Table2].[الكمية].[All]" dimensionUniqueName="[Table2]" displayFolder="" count="0" memberValueDatatype="20" unbalanced="0"/>
    <cacheHierarchy uniqueName="[Table2].[اجمالي بدون ضريبة]" caption="اجمالي بدون ضريبة" attribute="1" defaultMemberUniqueName="[Table2].[اجمالي بدون ضريبة].[All]" allUniqueName="[Table2].[اجمالي بدون ضريبة].[All]" dimensionUniqueName="[Table2]" displayFolder="" count="0" memberValueDatatype="5" unbalanced="0"/>
    <cacheHierarchy uniqueName="[Table2].[ضريبة]" caption="ضريبة" attribute="1" defaultMemberUniqueName="[Table2].[ضريبة].[All]" allUniqueName="[Table2].[ضريبة].[All]" dimensionUniqueName="[Table2]" displayFolder="" count="0" memberValueDatatype="5" unbalanced="0"/>
    <cacheHierarchy uniqueName="[Table2].[الإجمالي مع الضريبة]" caption="الإجمالي مع الضريبة" attribute="1" defaultMemberUniqueName="[Table2].[الإجمالي مع الضريبة].[All]" allUniqueName="[Table2].[الإجمالي مع الضريبة].[All]" dimensionUniqueName="[Table2]" displayFolder="" count="0" memberValueDatatype="5" unbalanced="0"/>
    <cacheHierarchy uniqueName="[Table2].[اجمالي الربح]" caption="اجمالي الربح" attribute="1" defaultMemberUniqueName="[Table2].[اجمالي الربح].[All]" allUniqueName="[Table2].[اجمالي الربح].[All]" dimensionUniqueName="[Table2]" displayFolder="" count="0" memberValueDatatype="5" unbalanced="0"/>
    <cacheHierarchy uniqueName="[Table1].[تاريخ بداية التقديم (Month Index)]" caption="تاريخ بداية التقديم (Month Index)" attribute="1" defaultMemberUniqueName="[Table1].[تاريخ بداية التقديم (Month Index)].[All]" allUniqueName="[Table1].[تاريخ بداية التقديم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تاريخ بداية التقديم]" caption="Count of تاريخ بداية التقديم" measure="1" displayFolder="" measureGroup="Table1" count="0" hidden="1">
      <extLst>
        <ext xmlns:x15="http://schemas.microsoft.com/office/spreadsheetml/2010/11/main" uri="{B97F6D7D-B522-45F9-BDA1-12C45D357490}">
          <x15:cacheHierarchy aggregatedColumn="5"/>
        </ext>
      </extLst>
    </cacheHierarchy>
    <cacheHierarchy uniqueName="[Measures].[Count of اسم المشروع]" caption="Count of اسم المشروع" measure="1" displayFolder="" measureGroup="Table1" count="0" hidden="1">
      <extLst>
        <ext xmlns:x15="http://schemas.microsoft.com/office/spreadsheetml/2010/11/main" uri="{B97F6D7D-B522-45F9-BDA1-12C45D357490}">
          <x15:cacheHierarchy aggregatedColumn="0"/>
        </ext>
      </extLst>
    </cacheHierarchy>
    <cacheHierarchy uniqueName="[Measures].[Count of الجهة الحكومية]" caption="Count of الجهة الحكومية" measure="1" displayFolder="" measureGroup="Table2" count="0" hidden="1">
      <extLst>
        <ext xmlns:x15="http://schemas.microsoft.com/office/spreadsheetml/2010/11/main" uri="{B97F6D7D-B522-45F9-BDA1-12C45D357490}">
          <x15:cacheHierarchy aggregatedColumn="18"/>
        </ext>
      </extLst>
    </cacheHierarchy>
    <cacheHierarchy uniqueName="[Measures].[Distinct Count of الجهة الحكومية]" caption="Distinct Count of الجهة الحكومية" measure="1" displayFolder="" measureGroup="Table2"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قيمة المشروع]" caption="Sum of قيمة المشروع" measure="1" displayFolder="" measureGroup="Table1" count="0" hidden="1">
      <extLst>
        <ext xmlns:x15="http://schemas.microsoft.com/office/spreadsheetml/2010/11/main" uri="{B97F6D7D-B522-45F9-BDA1-12C45D357490}">
          <x15:cacheHierarchy aggregatedColumn="8"/>
        </ext>
      </extLst>
    </cacheHierarchy>
    <cacheHierarchy uniqueName="[Measures].[Sum of نسبة الربحية المتوقعة]" caption="Sum of نسبة الربحية المتوقعة" measure="1" displayFolder="" measureGroup="Table1" count="0" hidden="1">
      <extLst>
        <ext xmlns:x15="http://schemas.microsoft.com/office/spreadsheetml/2010/11/main" uri="{B97F6D7D-B522-45F9-BDA1-12C45D357490}">
          <x15:cacheHierarchy aggregatedColumn="11"/>
        </ext>
      </extLst>
    </cacheHierarchy>
    <cacheHierarchy uniqueName="[Measures].[Sum of الكمية]" caption="Sum of الكمية" measure="1" displayFolder="" measureGroup="Table2" count="0" hidden="1">
      <extLst>
        <ext xmlns:x15="http://schemas.microsoft.com/office/spreadsheetml/2010/11/main" uri="{B97F6D7D-B522-45F9-BDA1-12C45D357490}">
          <x15:cacheHierarchy aggregatedColumn="28"/>
        </ext>
      </extLst>
    </cacheHierarchy>
    <cacheHierarchy uniqueName="[Measures].[Sum of اجمالي بدون ضريبة]" caption="Sum of اجمالي بدون ضريبة" measure="1" displayFolder="" measureGroup="Table2" count="0" hidden="1">
      <extLst>
        <ext xmlns:x15="http://schemas.microsoft.com/office/spreadsheetml/2010/11/main" uri="{B97F6D7D-B522-45F9-BDA1-12C45D357490}">
          <x15:cacheHierarchy aggregatedColumn="29"/>
        </ext>
      </extLst>
    </cacheHierarchy>
    <cacheHierarchy uniqueName="[Measures].[Sum of ضريبة]" caption="Sum of ضريبة" measure="1" displayFolder="" measureGroup="Table2" count="0" hidden="1">
      <extLst>
        <ext xmlns:x15="http://schemas.microsoft.com/office/spreadsheetml/2010/11/main" uri="{B97F6D7D-B522-45F9-BDA1-12C45D357490}">
          <x15:cacheHierarchy aggregatedColumn="30"/>
        </ext>
      </extLst>
    </cacheHierarchy>
    <cacheHierarchy uniqueName="[Measures].[Sum of الإجمالي مع الضريبة]" caption="Sum of الإجمالي مع الضريبة" measure="1" displayFolder="" measureGroup="Table2" count="0" hidden="1">
      <extLst>
        <ext xmlns:x15="http://schemas.microsoft.com/office/spreadsheetml/2010/11/main" uri="{B97F6D7D-B522-45F9-BDA1-12C45D357490}">
          <x15:cacheHierarchy aggregatedColumn="31"/>
        </ext>
      </extLst>
    </cacheHierarchy>
    <cacheHierarchy uniqueName="[Measures].[Sum of اجمالي الربح]" caption="Sum of اجمالي الربح" measure="1" displayFolder="" measureGroup="Table2" count="0" hidden="1">
      <extLst>
        <ext xmlns:x15="http://schemas.microsoft.com/office/spreadsheetml/2010/11/main" uri="{B97F6D7D-B522-45F9-BDA1-12C45D357490}">
          <x15:cacheHierarchy aggregatedColumn="32"/>
        </ext>
      </extLst>
    </cacheHierarchy>
    <cacheHierarchy uniqueName="[Measures].[Sum of تكلفة الحبة اللواحدة]" caption="Sum of تكلفة الحبة اللواحدة" measure="1" displayFolder="" measureGroup="Table2" count="0" hidden="1">
      <extLst>
        <ext xmlns:x15="http://schemas.microsoft.com/office/spreadsheetml/2010/11/main" uri="{B97F6D7D-B522-45F9-BDA1-12C45D357490}">
          <x15:cacheHierarchy aggregatedColumn="21"/>
        </ext>
      </extLst>
    </cacheHierarchy>
    <cacheHierarchy uniqueName="[Measures].[Sum of التكاليف  التشغيلية 20%]" caption="Sum of التكاليف  التشغيلية 20%" measure="1" displayFolder="" measureGroup="Table2" count="0" hidden="1"/>
    <cacheHierarchy uniqueName="[Measures].[Sum of المخاطرة 10% ( تحسب تلقائيا )]" caption="Sum of المخاطرة 10% ( تحسب تلقائيا )" measure="1" displayFolder="" measureGroup="Table2" count="0" hidden="1">
      <extLst>
        <ext xmlns:x15="http://schemas.microsoft.com/office/spreadsheetml/2010/11/main" uri="{B97F6D7D-B522-45F9-BDA1-12C45D357490}">
          <x15:cacheHierarchy aggregatedColumn="24"/>
        </ext>
      </extLst>
    </cacheHierarchy>
    <cacheHierarchy uniqueName="[Measures].[Sum of إجمالي التكاليف]" caption="Sum of إجمالي التكاليف" measure="1" displayFolder="" measureGroup="Table2" count="0" hidden="1"/>
    <cacheHierarchy uniqueName="[Measures].[Sum of ضريبة المنتج الواحد]" caption="Sum of ضريبة المنتج الواحد" measure="1" displayFolder="" measureGroup="Table2" count="0" hidden="1">
      <extLst>
        <ext xmlns:x15="http://schemas.microsoft.com/office/spreadsheetml/2010/11/main" uri="{B97F6D7D-B522-45F9-BDA1-12C45D357490}">
          <x15:cacheHierarchy aggregatedColumn="26"/>
        </ext>
      </extLst>
    </cacheHierarchy>
    <cacheHierarchy uniqueName="[Measures].[Sum of الإجمالي للبيع]" caption="Sum of الإجمالي للبيع" measure="1" displayFolder="" measureGroup="Table2" count="0" hidden="1">
      <extLst>
        <ext xmlns:x15="http://schemas.microsoft.com/office/spreadsheetml/2010/11/main" uri="{B97F6D7D-B522-45F9-BDA1-12C45D357490}">
          <x15:cacheHierarchy aggregatedColumn="27"/>
        </ext>
      </extLst>
    </cacheHierarchy>
    <cacheHierarchy uniqueName="[Measures].[Distinct Count of اسم المشروع]" caption="Distinct Count of اسم المشروع" measure="1" displayFolder="" measureGroup="Table1" count="0" hidden="1">
      <extLst>
        <ext xmlns:x15="http://schemas.microsoft.com/office/spreadsheetml/2010/11/main" uri="{B97F6D7D-B522-45F9-BDA1-12C45D357490}">
          <x15:cacheHierarchy aggregatedColumn="0"/>
        </ext>
      </extLst>
    </cacheHierarchy>
    <cacheHierarchy uniqueName="[Measures].[Count of حالة المشروع]" caption="Count of حالة المشروع" measure="1" displayFolder="" measureGroup="Table1" count="0" hidden="1">
      <extLst>
        <ext xmlns:x15="http://schemas.microsoft.com/office/spreadsheetml/2010/11/main" uri="{B97F6D7D-B522-45F9-BDA1-12C45D357490}">
          <x15:cacheHierarchy aggregatedColumn="9"/>
        </ext>
      </extLst>
    </cacheHierarchy>
    <cacheHierarchy uniqueName="[Measures].[Sum of قيمة الكراسة]" caption="Sum of قيمة الكراسة" measure="1" displayFolder="" measureGroup="Table1" count="0" hidden="1">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633.85683877315" backgroundQuery="1" createdVersion="8" refreshedVersion="8" minRefreshableVersion="3" recordCount="0" supportSubquery="1" supportAdvancedDrill="1" xr:uid="{413A6BA3-489B-4193-B859-E92FF6ACD0F1}">
  <cacheSource type="external" connectionId="1"/>
  <cacheFields count="6">
    <cacheField name="[Table1].[اسم المشروع].[اسم المشروع]" caption="اسم المشروع" numFmtId="0" level="1">
      <sharedItems count="13">
        <s v="حفل تخريج الدفعة 65"/>
        <s v="حفل تخريج الدفعة 67"/>
        <s v="حفل تخريج الدفعة 68"/>
        <s v="حفل تخريج الدفعة 69"/>
        <s v="حفل تخريج الدفعة 70"/>
        <s v="حفل تخريج الدفعة 71"/>
        <s v="حفل تخريج الدفعة 72"/>
        <s v="حفل تخريج الدفعة 73"/>
        <s v="حفل تخريج الدفعة 74"/>
        <s v="حفل تخريج الدفعة 75"/>
        <s v="حفل تخريج الدفعة 76"/>
        <s v="حفل تخريج الدفعة 77"/>
        <s v="حفل تخريج الدفعة 78"/>
      </sharedItems>
    </cacheField>
    <cacheField name="[Measures].[Sum of قيمة المشروع]" caption="Sum of قيمة المشروع" numFmtId="0" hierarchy="41" level="32767"/>
    <cacheField name="[Measures].[Sum of نسبة الربحية المتوقعة]" caption="Sum of نسبة الربحية المتوقعة" numFmtId="0" hierarchy="42" level="32767"/>
    <cacheField name="[Measures].[Count of اسم المشروع]" caption="Count of اسم المشروع" numFmtId="0" hierarchy="38" level="32767"/>
    <cacheField name="[Table1].[تاريخ بداية التقديم (Month)].[تاريخ بداية التقديم (Month)]" caption="تاريخ بداية التقديم (Month)" numFmtId="0" hierarchy="14" level="1">
      <sharedItems containsSemiMixedTypes="0" containsNonDate="0" containsString="0"/>
    </cacheField>
    <cacheField name="[Table1].[الجهة الحكومية].[الجهة الحكومية]" caption="الجهة الحكومية" numFmtId="0" hierarchy="1" level="1">
      <sharedItems containsSemiMixedTypes="0" containsNonDate="0" containsString="0"/>
    </cacheField>
  </cacheFields>
  <cacheHierarchies count="57">
    <cacheHierarchy uniqueName="[Table1].[اسم المشروع]" caption="اسم المشروع" attribute="1" defaultMemberUniqueName="[Table1].[اسم المشروع].[All]" allUniqueName="[Table1].[اسم المشروع].[All]" dimensionUniqueName="[Table1]" displayFolder="" count="2" memberValueDatatype="130" unbalanced="0">
      <fieldsUsage count="2">
        <fieldUsage x="-1"/>
        <fieldUsage x="0"/>
      </fieldsUsage>
    </cacheHierarchy>
    <cacheHierarchy uniqueName="[Table1].[الجهة الحكومية]" caption="الجهة الحكومية" attribute="1" defaultMemberUniqueName="[Table1].[الجهة الحكومية].[All]" allUniqueName="[Table1].[الجهة الحكومية].[All]" dimensionUniqueName="[Table1]" displayFolder="" count="2" memberValueDatatype="130" unbalanced="0">
      <fieldsUsage count="2">
        <fieldUsage x="-1"/>
        <fieldUsage x="5"/>
      </fieldsUsage>
    </cacheHierarchy>
    <cacheHierarchy uniqueName="[Table1].[المنطقة]" caption="المنطقة" attribute="1" defaultMemberUniqueName="[Table1].[المنطقة].[All]" allUniqueName="[Table1].[المنطقة].[All]" dimensionUniqueName="[Table1]" displayFolder="" count="0" memberValueDatatype="130" unbalanced="0"/>
    <cacheHierarchy uniqueName="[Table1].[رقم المناقصة]" caption="رقم المناقصة" attribute="1" defaultMemberUniqueName="[Table1].[رقم المناقصة].[All]" allUniqueName="[Table1].[رقم المناقصة].[All]" dimensionUniqueName="[Table1]" displayFolder="" count="0" memberValueDatatype="5" unbalanced="0"/>
    <cacheHierarchy uniqueName="[Table1].[تفاصيل المناقصة]" caption="تفاصيل المناقصة" attribute="1" defaultMemberUniqueName="[Table1].[تفاصيل المناقصة].[All]" allUniqueName="[Table1].[تفاصيل المناقصة].[All]" dimensionUniqueName="[Table1]" displayFolder="" count="0" memberValueDatatype="130" unbalanced="0"/>
    <cacheHierarchy uniqueName="[Table1].[تاريخ بداية التقديم]" caption="تاريخ بداية التقديم" attribute="1" time="1" defaultMemberUniqueName="[Table1].[تاريخ بداية التقديم].[All]" allUniqueName="[Table1].[تاريخ بداية التقديم].[All]" dimensionUniqueName="[Table1]" displayFolder="" count="0" memberValueDatatype="7" unbalanced="0"/>
    <cacheHierarchy uniqueName="[Table1].[تاريخ انتهاء التقديم]" caption="تاريخ انتهاء التقديم" attribute="1" time="1" defaultMemberUniqueName="[Table1].[تاريخ انتهاء التقديم].[All]" allUniqueName="[Table1].[تاريخ انتهاء التقديم].[All]" dimensionUniqueName="[Table1]" displayFolder="" count="0" memberValueDatatype="7" unbalanced="0"/>
    <cacheHierarchy uniqueName="[Table1].[قيمة الكراسة]" caption="قيمة الكراسة" attribute="1" defaultMemberUniqueName="[Table1].[قيمة الكراسة].[All]" allUniqueName="[Table1].[قيمة الكراسة].[All]" dimensionUniqueName="[Table1]" displayFolder="" count="0" memberValueDatatype="5" unbalanced="0"/>
    <cacheHierarchy uniqueName="[Table1].[قيمة المشروع]" caption="قيمة المشروع" attribute="1" defaultMemberUniqueName="[Table1].[قيمة المشروع].[All]" allUniqueName="[Table1].[قيمة المشروع].[All]" dimensionUniqueName="[Table1]" displayFolder="" count="0" memberValueDatatype="20" unbalanced="0"/>
    <cacheHierarchy uniqueName="[Table1].[حالة المشروع]" caption="حالة المشروع" attribute="1" defaultMemberUniqueName="[Table1].[حالة المشروع].[All]" allUniqueName="[Table1].[حالة المشروع].[All]" dimensionUniqueName="[Table1]" displayFolder="" count="0" memberValueDatatype="130" unbalanced="0"/>
    <cacheHierarchy uniqueName="[Table1].[الفرق]" caption="الفرق" attribute="1" defaultMemberUniqueName="[Table1].[الفرق].[All]" allUniqueName="[Table1].[الفرق].[All]" dimensionUniqueName="[Table1]" displayFolder="" count="0" memberValueDatatype="5" unbalanced="0"/>
    <cacheHierarchy uniqueName="[Table1].[نسبة الربحية المتوقعة]" caption="نسبة الربحية المتوقعة" attribute="1" defaultMemberUniqueName="[Table1].[نسبة الربحية المتوقعة].[All]" allUniqueName="[Table1].[نسبة الربحية المتوقعة].[All]" dimensionUniqueName="[Table1]" displayFolder="" count="0" memberValueDatatype="5" unbalanced="0"/>
    <cacheHierarchy uniqueName="[Table1].[تاريخ بداية التقديم (Year)]" caption="تاريخ بداية التقديم (Year)" attribute="1" defaultMemberUniqueName="[Table1].[تاريخ بداية التقديم (Year)].[All]" allUniqueName="[Table1].[تاريخ بداية التقديم (Year)].[All]" dimensionUniqueName="[Table1]" displayFolder="" count="2" memberValueDatatype="130" unbalanced="0"/>
    <cacheHierarchy uniqueName="[Table1].[تاريخ بداية التقديم (Quarter)]" caption="تاريخ بداية التقديم (Quarter)" attribute="1" defaultMemberUniqueName="[Table1].[تاريخ بداية التقديم (Quarter)].[All]" allUniqueName="[Table1].[تاريخ بداية التقديم (Quarter)].[All]" dimensionUniqueName="[Table1]" displayFolder="" count="0" memberValueDatatype="130" unbalanced="0"/>
    <cacheHierarchy uniqueName="[Table1].[تاريخ بداية التقديم (Month)]" caption="تاريخ بداية التقديم (Month)" attribute="1" defaultMemberUniqueName="[Table1].[تاريخ بداية التقديم (Month)].[All]" allUniqueName="[Table1].[تاريخ بداية التقديم (Month)].[All]" dimensionUniqueName="[Table1]" displayFolder="" count="2" memberValueDatatype="130" unbalanced="0">
      <fieldsUsage count="2">
        <fieldUsage x="-1"/>
        <fieldUsage x="4"/>
      </fieldsUsage>
    </cacheHierarchy>
    <cacheHierarchy uniqueName="[Table1].[قيمة الربح]" caption="قيمة الربح" attribute="1" defaultMemberUniqueName="[Table1].[قيمة الربح].[All]" allUniqueName="[Table1].[قيمة الربح].[All]" dimensionUniqueName="[Table1]" displayFolder="" count="0" memberValueDatatype="5" unbalanced="0"/>
    <cacheHierarchy uniqueName="[Table1].[قيمة العمولات]" caption="قيمة العمولات" attribute="1" defaultMemberUniqueName="[Table1].[قيمة العمولات].[All]" allUniqueName="[Table1].[قيمة العمولات].[All]" dimensionUniqueName="[Table1]" displayFolder="" count="0" memberValueDatatype="20" unbalanced="0"/>
    <cacheHierarchy uniqueName="[Table2].[اسم المشروع]" caption="اسم المشروع" attribute="1" defaultMemberUniqueName="[Table2].[اسم المشروع].[All]" allUniqueName="[Table2].[اسم المشروع].[All]" dimensionUniqueName="[Table2]" displayFolder="" count="0" memberValueDatatype="130" unbalanced="0"/>
    <cacheHierarchy uniqueName="[Table2].[الجهة الحكومية]" caption="الجهة الحكومية" attribute="1" defaultMemberUniqueName="[Table2].[الجهة الحكومية].[All]" allUniqueName="[Table2].[الجهة الحكومية].[All]" dimensionUniqueName="[Table2]" displayFolder="" count="0" memberValueDatatype="130" unbalanced="0"/>
    <cacheHierarchy uniqueName="[Table2].[المخرج]" caption="المخرج" attribute="1" defaultMemberUniqueName="[Table2].[المخرج].[All]" allUniqueName="[Table2].[المخرج].[All]" dimensionUniqueName="[Table2]" displayFolder="" count="0" memberValueDatatype="130" unbalanced="0"/>
    <cacheHierarchy uniqueName="[Table2].[الوحدة]" caption="الوحدة" attribute="1" defaultMemberUniqueName="[Table2].[الوحدة].[All]" allUniqueName="[Table2].[الوحدة].[All]" dimensionUniqueName="[Table2]" displayFolder="" count="0" memberValueDatatype="130" unbalanced="0"/>
    <cacheHierarchy uniqueName="[Table2].[تكلفة الحبة اللواحدة]" caption="تكلفة الحبة اللواحدة" attribute="1" defaultMemberUniqueName="[Table2].[تكلفة الحبة اللواحدة].[All]" allUniqueName="[Table2].[تكلفة الحبة اللواحدة].[All]" dimensionUniqueName="[Table2]" displayFolder="" count="0" memberValueDatatype="20" unbalanced="0"/>
    <cacheHierarchy uniqueName="[Table2].[إجمالي التكاليف للحبة الواحدة]" caption="إجمالي التكاليف للحبة الواحدة" attribute="1" defaultMemberUniqueName="[Table2].[إجمالي التكاليف للحبة الواحدة].[All]" allUniqueName="[Table2].[إجمالي التكاليف للحبة الواحدة].[All]" dimensionUniqueName="[Table2]" displayFolder="" count="0" memberValueDatatype="20" unbalanced="0"/>
    <cacheHierarchy uniqueName="[Table2].[التكاليف  التشغيلية 20%]" caption="التكاليف  التشغيلية 20%" attribute="1" defaultMemberUniqueName="[Table2].[التكاليف  التشغيلية 20%].[All]" allUniqueName="[Table2].[التكاليف  التشغيلية 20%].[All]" dimensionUniqueName="[Table2]" displayFolder="" count="0" memberValueDatatype="5" unbalanced="0"/>
    <cacheHierarchy uniqueName="[Table2].[المخاطرة 10% ( تحسب تلقائيا )]" caption="المخاطرة 10% ( تحسب تلقائيا )" attribute="1" defaultMemberUniqueName="[Table2].[المخاطرة 10% ( تحسب تلقائيا )].[All]" allUniqueName="[Table2].[المخاطرة 10% ( تحسب تلقائيا )].[All]" dimensionUniqueName="[Table2]" displayFolder="" count="0" memberValueDatatype="5" unbalanced="0"/>
    <cacheHierarchy uniqueName="[Table2].[إجمالي التكاليف]" caption="إجمالي التكاليف" attribute="1" defaultMemberUniqueName="[Table2].[إجمالي التكاليف].[All]" allUniqueName="[Table2].[إجمالي التكاليف].[All]" dimensionUniqueName="[Table2]" displayFolder="" count="0" memberValueDatatype="5" unbalanced="0"/>
    <cacheHierarchy uniqueName="[Table2].[ضريبة المنتج الواحد]" caption="ضريبة المنتج الواحد" attribute="1" defaultMemberUniqueName="[Table2].[ضريبة المنتج الواحد].[All]" allUniqueName="[Table2].[ضريبة المنتج الواحد].[All]" dimensionUniqueName="[Table2]" displayFolder="" count="0" memberValueDatatype="5" unbalanced="0"/>
    <cacheHierarchy uniqueName="[Table2].[الإجمالي للبيع]" caption="الإجمالي للبيع" attribute="1" defaultMemberUniqueName="[Table2].[الإجمالي للبيع].[All]" allUniqueName="[Table2].[الإجمالي للبيع].[All]" dimensionUniqueName="[Table2]" displayFolder="" count="0" memberValueDatatype="5" unbalanced="0"/>
    <cacheHierarchy uniqueName="[Table2].[الكمية]" caption="الكمية" attribute="1" defaultMemberUniqueName="[Table2].[الكمية].[All]" allUniqueName="[Table2].[الكمية].[All]" dimensionUniqueName="[Table2]" displayFolder="" count="0" memberValueDatatype="20" unbalanced="0"/>
    <cacheHierarchy uniqueName="[Table2].[اجمالي بدون ضريبة]" caption="اجمالي بدون ضريبة" attribute="1" defaultMemberUniqueName="[Table2].[اجمالي بدون ضريبة].[All]" allUniqueName="[Table2].[اجمالي بدون ضريبة].[All]" dimensionUniqueName="[Table2]" displayFolder="" count="0" memberValueDatatype="5" unbalanced="0"/>
    <cacheHierarchy uniqueName="[Table2].[ضريبة]" caption="ضريبة" attribute="1" defaultMemberUniqueName="[Table2].[ضريبة].[All]" allUniqueName="[Table2].[ضريبة].[All]" dimensionUniqueName="[Table2]" displayFolder="" count="0" memberValueDatatype="5" unbalanced="0"/>
    <cacheHierarchy uniqueName="[Table2].[الإجمالي مع الضريبة]" caption="الإجمالي مع الضريبة" attribute="1" defaultMemberUniqueName="[Table2].[الإجمالي مع الضريبة].[All]" allUniqueName="[Table2].[الإجمالي مع الضريبة].[All]" dimensionUniqueName="[Table2]" displayFolder="" count="0" memberValueDatatype="5" unbalanced="0"/>
    <cacheHierarchy uniqueName="[Table2].[اجمالي الربح]" caption="اجمالي الربح" attribute="1" defaultMemberUniqueName="[Table2].[اجمالي الربح].[All]" allUniqueName="[Table2].[اجمالي الربح].[All]" dimensionUniqueName="[Table2]" displayFolder="" count="0" memberValueDatatype="5" unbalanced="0"/>
    <cacheHierarchy uniqueName="[Table1].[تاريخ بداية التقديم (Month Index)]" caption="تاريخ بداية التقديم (Month Index)" attribute="1" defaultMemberUniqueName="[Table1].[تاريخ بداية التقديم (Month Index)].[All]" allUniqueName="[Table1].[تاريخ بداية التقديم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تاريخ بداية التقديم]" caption="Count of تاريخ بداية التقديم" measure="1" displayFolder="" measureGroup="Table1" count="0" hidden="1">
      <extLst>
        <ext xmlns:x15="http://schemas.microsoft.com/office/spreadsheetml/2010/11/main" uri="{B97F6D7D-B522-45F9-BDA1-12C45D357490}">
          <x15:cacheHierarchy aggregatedColumn="5"/>
        </ext>
      </extLst>
    </cacheHierarchy>
    <cacheHierarchy uniqueName="[Measures].[Count of اسم المشروع]" caption="Count of اسم المشروع" measure="1" displayFolder="" measureGroup="Table1" count="0" oneField="1" hidden="1">
      <fieldsUsage count="1">
        <fieldUsage x="3"/>
      </fieldsUsage>
      <extLst>
        <ext xmlns:x15="http://schemas.microsoft.com/office/spreadsheetml/2010/11/main" uri="{B97F6D7D-B522-45F9-BDA1-12C45D357490}">
          <x15:cacheHierarchy aggregatedColumn="0"/>
        </ext>
      </extLst>
    </cacheHierarchy>
    <cacheHierarchy uniqueName="[Measures].[Count of الجهة الحكومية]" caption="Count of الجهة الحكومية" measure="1" displayFolder="" measureGroup="Table2" count="0" hidden="1">
      <extLst>
        <ext xmlns:x15="http://schemas.microsoft.com/office/spreadsheetml/2010/11/main" uri="{B97F6D7D-B522-45F9-BDA1-12C45D357490}">
          <x15:cacheHierarchy aggregatedColumn="18"/>
        </ext>
      </extLst>
    </cacheHierarchy>
    <cacheHierarchy uniqueName="[Measures].[Distinct Count of الجهة الحكومية]" caption="Distinct Count of الجهة الحكومية" measure="1" displayFolder="" measureGroup="Table2" count="0" hidden="1">
      <extLst>
        <ext xmlns:x15="http://schemas.microsoft.com/office/spreadsheetml/2010/11/main" uri="{B97F6D7D-B522-45F9-BDA1-12C45D357490}">
          <x15:cacheHierarchy aggregatedColumn="18"/>
        </ext>
      </extLst>
    </cacheHierarchy>
    <cacheHierarchy uniqueName="[Measures].[Sum of قيمة المشروع]" caption="Sum of قيمة المشروع"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نسبة الربحية المتوقعة]" caption="Sum of نسبة الربحية المتوقعة" measure="1" displayFolder="" measureGroup="Table1"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الكمية]" caption="Sum of الكمية" measure="1" displayFolder="" measureGroup="Table2" count="0" hidden="1">
      <extLst>
        <ext xmlns:x15="http://schemas.microsoft.com/office/spreadsheetml/2010/11/main" uri="{B97F6D7D-B522-45F9-BDA1-12C45D357490}">
          <x15:cacheHierarchy aggregatedColumn="28"/>
        </ext>
      </extLst>
    </cacheHierarchy>
    <cacheHierarchy uniqueName="[Measures].[Sum of اجمالي بدون ضريبة]" caption="Sum of اجمالي بدون ضريبة" measure="1" displayFolder="" measureGroup="Table2" count="0" hidden="1">
      <extLst>
        <ext xmlns:x15="http://schemas.microsoft.com/office/spreadsheetml/2010/11/main" uri="{B97F6D7D-B522-45F9-BDA1-12C45D357490}">
          <x15:cacheHierarchy aggregatedColumn="29"/>
        </ext>
      </extLst>
    </cacheHierarchy>
    <cacheHierarchy uniqueName="[Measures].[Sum of ضريبة]" caption="Sum of ضريبة" measure="1" displayFolder="" measureGroup="Table2" count="0" hidden="1">
      <extLst>
        <ext xmlns:x15="http://schemas.microsoft.com/office/spreadsheetml/2010/11/main" uri="{B97F6D7D-B522-45F9-BDA1-12C45D357490}">
          <x15:cacheHierarchy aggregatedColumn="30"/>
        </ext>
      </extLst>
    </cacheHierarchy>
    <cacheHierarchy uniqueName="[Measures].[Sum of الإجمالي مع الضريبة]" caption="Sum of الإجمالي مع الضريبة" measure="1" displayFolder="" measureGroup="Table2" count="0" hidden="1">
      <extLst>
        <ext xmlns:x15="http://schemas.microsoft.com/office/spreadsheetml/2010/11/main" uri="{B97F6D7D-B522-45F9-BDA1-12C45D357490}">
          <x15:cacheHierarchy aggregatedColumn="31"/>
        </ext>
      </extLst>
    </cacheHierarchy>
    <cacheHierarchy uniqueName="[Measures].[Sum of اجمالي الربح]" caption="Sum of اجمالي الربح" measure="1" displayFolder="" measureGroup="Table2" count="0" hidden="1">
      <extLst>
        <ext xmlns:x15="http://schemas.microsoft.com/office/spreadsheetml/2010/11/main" uri="{B97F6D7D-B522-45F9-BDA1-12C45D357490}">
          <x15:cacheHierarchy aggregatedColumn="32"/>
        </ext>
      </extLst>
    </cacheHierarchy>
    <cacheHierarchy uniqueName="[Measures].[Sum of تكلفة الحبة اللواحدة]" caption="Sum of تكلفة الحبة اللواحدة" measure="1" displayFolder="" measureGroup="Table2" count="0" hidden="1">
      <extLst>
        <ext xmlns:x15="http://schemas.microsoft.com/office/spreadsheetml/2010/11/main" uri="{B97F6D7D-B522-45F9-BDA1-12C45D357490}">
          <x15:cacheHierarchy aggregatedColumn="21"/>
        </ext>
      </extLst>
    </cacheHierarchy>
    <cacheHierarchy uniqueName="[Measures].[Sum of التكاليف  التشغيلية 20%]" caption="Sum of التكاليف  التشغيلية 20%" measure="1" displayFolder="" measureGroup="Table2" count="0" hidden="1"/>
    <cacheHierarchy uniqueName="[Measures].[Sum of المخاطرة 10% ( تحسب تلقائيا )]" caption="Sum of المخاطرة 10% ( تحسب تلقائيا )" measure="1" displayFolder="" measureGroup="Table2" count="0" hidden="1">
      <extLst>
        <ext xmlns:x15="http://schemas.microsoft.com/office/spreadsheetml/2010/11/main" uri="{B97F6D7D-B522-45F9-BDA1-12C45D357490}">
          <x15:cacheHierarchy aggregatedColumn="24"/>
        </ext>
      </extLst>
    </cacheHierarchy>
    <cacheHierarchy uniqueName="[Measures].[Sum of إجمالي التكاليف]" caption="Sum of إجمالي التكاليف" measure="1" displayFolder="" measureGroup="Table2" count="0" hidden="1"/>
    <cacheHierarchy uniqueName="[Measures].[Sum of ضريبة المنتج الواحد]" caption="Sum of ضريبة المنتج الواحد" measure="1" displayFolder="" measureGroup="Table2" count="0" hidden="1">
      <extLst>
        <ext xmlns:x15="http://schemas.microsoft.com/office/spreadsheetml/2010/11/main" uri="{B97F6D7D-B522-45F9-BDA1-12C45D357490}">
          <x15:cacheHierarchy aggregatedColumn="26"/>
        </ext>
      </extLst>
    </cacheHierarchy>
    <cacheHierarchy uniqueName="[Measures].[Sum of الإجمالي للبيع]" caption="Sum of الإجمالي للبيع" measure="1" displayFolder="" measureGroup="Table2" count="0" hidden="1">
      <extLst>
        <ext xmlns:x15="http://schemas.microsoft.com/office/spreadsheetml/2010/11/main" uri="{B97F6D7D-B522-45F9-BDA1-12C45D357490}">
          <x15:cacheHierarchy aggregatedColumn="27"/>
        </ext>
      </extLst>
    </cacheHierarchy>
    <cacheHierarchy uniqueName="[Measures].[Distinct Count of اسم المشروع]" caption="Distinct Count of اسم المشروع" measure="1" displayFolder="" measureGroup="Table1" count="0" hidden="1">
      <extLst>
        <ext xmlns:x15="http://schemas.microsoft.com/office/spreadsheetml/2010/11/main" uri="{B97F6D7D-B522-45F9-BDA1-12C45D357490}">
          <x15:cacheHierarchy aggregatedColumn="0"/>
        </ext>
      </extLst>
    </cacheHierarchy>
    <cacheHierarchy uniqueName="[Measures].[Count of حالة المشروع]" caption="Count of حالة المشروع" measure="1" displayFolder="" measureGroup="Table1" count="0" hidden="1">
      <extLst>
        <ext xmlns:x15="http://schemas.microsoft.com/office/spreadsheetml/2010/11/main" uri="{B97F6D7D-B522-45F9-BDA1-12C45D357490}">
          <x15:cacheHierarchy aggregatedColumn="9"/>
        </ext>
      </extLst>
    </cacheHierarchy>
    <cacheHierarchy uniqueName="[Measures].[Sum of قيمة الكراسة]" caption="Sum of قيمة الكراسة" measure="1" displayFolder="" measureGroup="Table1" count="0" hidden="1">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633.856839699074" backgroundQuery="1" createdVersion="8" refreshedVersion="8" minRefreshableVersion="3" recordCount="0" supportSubquery="1" supportAdvancedDrill="1" xr:uid="{3785D415-BFBA-4B07-A1CB-0D2AF841BD02}">
  <cacheSource type="external" connectionId="1"/>
  <cacheFields count="3">
    <cacheField name="[Table1].[تاريخ بداية التقديم (Month)].[تاريخ بداية التقديم (Month)]" caption="تاريخ بداية التقديم (Month)" numFmtId="0" hierarchy="14" level="1">
      <sharedItems count="6">
        <s v="Jan"/>
        <s v="May"/>
        <s v="Aug"/>
        <s v="Sep"/>
        <s v="Oct"/>
        <s v="Dec"/>
      </sharedItems>
    </cacheField>
    <cacheField name="[Measures].[Distinct Count of اسم المشروع]" caption="Distinct Count of اسم المشروع" numFmtId="0" hierarchy="54" level="32767"/>
    <cacheField name="[Table1].[الجهة الحكومية].[الجهة الحكومية]" caption="الجهة الحكومية" numFmtId="0" hierarchy="1" level="1">
      <sharedItems containsSemiMixedTypes="0" containsNonDate="0" containsString="0"/>
    </cacheField>
  </cacheFields>
  <cacheHierarchies count="57">
    <cacheHierarchy uniqueName="[Table1].[اسم المشروع]" caption="اسم المشروع" attribute="1" defaultMemberUniqueName="[Table1].[اسم المشروع].[All]" allUniqueName="[Table1].[اسم المشروع].[All]" dimensionUniqueName="[Table1]" displayFolder="" count="2" memberValueDatatype="130" unbalanced="0"/>
    <cacheHierarchy uniqueName="[Table1].[الجهة الحكومية]" caption="الجهة الحكومية" attribute="1" defaultMemberUniqueName="[Table1].[الجهة الحكومية].[All]" allUniqueName="[Table1].[الجهة الحكومية].[All]" dimensionUniqueName="[Table1]" displayFolder="" count="2" memberValueDatatype="130" unbalanced="0">
      <fieldsUsage count="2">
        <fieldUsage x="-1"/>
        <fieldUsage x="2"/>
      </fieldsUsage>
    </cacheHierarchy>
    <cacheHierarchy uniqueName="[Table1].[المنطقة]" caption="المنطقة" attribute="1" defaultMemberUniqueName="[Table1].[المنطقة].[All]" allUniqueName="[Table1].[المنطقة].[All]" dimensionUniqueName="[Table1]" displayFolder="" count="0" memberValueDatatype="130" unbalanced="0"/>
    <cacheHierarchy uniqueName="[Table1].[رقم المناقصة]" caption="رقم المناقصة" attribute="1" defaultMemberUniqueName="[Table1].[رقم المناقصة].[All]" allUniqueName="[Table1].[رقم المناقصة].[All]" dimensionUniqueName="[Table1]" displayFolder="" count="0" memberValueDatatype="5" unbalanced="0"/>
    <cacheHierarchy uniqueName="[Table1].[تفاصيل المناقصة]" caption="تفاصيل المناقصة" attribute="1" defaultMemberUniqueName="[Table1].[تفاصيل المناقصة].[All]" allUniqueName="[Table1].[تفاصيل المناقصة].[All]" dimensionUniqueName="[Table1]" displayFolder="" count="0" memberValueDatatype="130" unbalanced="0"/>
    <cacheHierarchy uniqueName="[Table1].[تاريخ بداية التقديم]" caption="تاريخ بداية التقديم" attribute="1" time="1" defaultMemberUniqueName="[Table1].[تاريخ بداية التقديم].[All]" allUniqueName="[Table1].[تاريخ بداية التقديم].[All]" dimensionUniqueName="[Table1]" displayFolder="" count="0" memberValueDatatype="7" unbalanced="0"/>
    <cacheHierarchy uniqueName="[Table1].[تاريخ انتهاء التقديم]" caption="تاريخ انتهاء التقديم" attribute="1" time="1" defaultMemberUniqueName="[Table1].[تاريخ انتهاء التقديم].[All]" allUniqueName="[Table1].[تاريخ انتهاء التقديم].[All]" dimensionUniqueName="[Table1]" displayFolder="" count="0" memberValueDatatype="7" unbalanced="0"/>
    <cacheHierarchy uniqueName="[Table1].[قيمة الكراسة]" caption="قيمة الكراسة" attribute="1" defaultMemberUniqueName="[Table1].[قيمة الكراسة].[All]" allUniqueName="[Table1].[قيمة الكراسة].[All]" dimensionUniqueName="[Table1]" displayFolder="" count="0" memberValueDatatype="5" unbalanced="0"/>
    <cacheHierarchy uniqueName="[Table1].[قيمة المشروع]" caption="قيمة المشروع" attribute="1" defaultMemberUniqueName="[Table1].[قيمة المشروع].[All]" allUniqueName="[Table1].[قيمة المشروع].[All]" dimensionUniqueName="[Table1]" displayFolder="" count="0" memberValueDatatype="20" unbalanced="0"/>
    <cacheHierarchy uniqueName="[Table1].[حالة المشروع]" caption="حالة المشروع" attribute="1" defaultMemberUniqueName="[Table1].[حالة المشروع].[All]" allUniqueName="[Table1].[حالة المشروع].[All]" dimensionUniqueName="[Table1]" displayFolder="" count="0" memberValueDatatype="130" unbalanced="0"/>
    <cacheHierarchy uniqueName="[Table1].[الفرق]" caption="الفرق" attribute="1" defaultMemberUniqueName="[Table1].[الفرق].[All]" allUniqueName="[Table1].[الفرق].[All]" dimensionUniqueName="[Table1]" displayFolder="" count="0" memberValueDatatype="5" unbalanced="0"/>
    <cacheHierarchy uniqueName="[Table1].[نسبة الربحية المتوقعة]" caption="نسبة الربحية المتوقعة" attribute="1" defaultMemberUniqueName="[Table1].[نسبة الربحية المتوقعة].[All]" allUniqueName="[Table1].[نسبة الربحية المتوقعة].[All]" dimensionUniqueName="[Table1]" displayFolder="" count="0" memberValueDatatype="5" unbalanced="0"/>
    <cacheHierarchy uniqueName="[Table1].[تاريخ بداية التقديم (Year)]" caption="تاريخ بداية التقديم (Year)" attribute="1" defaultMemberUniqueName="[Table1].[تاريخ بداية التقديم (Year)].[All]" allUniqueName="[Table1].[تاريخ بداية التقديم (Year)].[All]" dimensionUniqueName="[Table1]" displayFolder="" count="2" memberValueDatatype="130" unbalanced="0"/>
    <cacheHierarchy uniqueName="[Table1].[تاريخ بداية التقديم (Quarter)]" caption="تاريخ بداية التقديم (Quarter)" attribute="1" defaultMemberUniqueName="[Table1].[تاريخ بداية التقديم (Quarter)].[All]" allUniqueName="[Table1].[تاريخ بداية التقديم (Quarter)].[All]" dimensionUniqueName="[Table1]" displayFolder="" count="0" memberValueDatatype="130" unbalanced="0"/>
    <cacheHierarchy uniqueName="[Table1].[تاريخ بداية التقديم (Month)]" caption="تاريخ بداية التقديم (Month)" attribute="1" defaultMemberUniqueName="[Table1].[تاريخ بداية التقديم (Month)].[All]" allUniqueName="[Table1].[تاريخ بداية التقديم (Month)].[All]" dimensionUniqueName="[Table1]" displayFolder="" count="2" memberValueDatatype="130" unbalanced="0">
      <fieldsUsage count="2">
        <fieldUsage x="-1"/>
        <fieldUsage x="0"/>
      </fieldsUsage>
    </cacheHierarchy>
    <cacheHierarchy uniqueName="[Table1].[قيمة الربح]" caption="قيمة الربح" attribute="1" defaultMemberUniqueName="[Table1].[قيمة الربح].[All]" allUniqueName="[Table1].[قيمة الربح].[All]" dimensionUniqueName="[Table1]" displayFolder="" count="0" memberValueDatatype="5" unbalanced="0"/>
    <cacheHierarchy uniqueName="[Table1].[قيمة العمولات]" caption="قيمة العمولات" attribute="1" defaultMemberUniqueName="[Table1].[قيمة العمولات].[All]" allUniqueName="[Table1].[قيمة العمولات].[All]" dimensionUniqueName="[Table1]" displayFolder="" count="0" memberValueDatatype="20" unbalanced="0"/>
    <cacheHierarchy uniqueName="[Table2].[اسم المشروع]" caption="اسم المشروع" attribute="1" defaultMemberUniqueName="[Table2].[اسم المشروع].[All]" allUniqueName="[Table2].[اسم المشروع].[All]" dimensionUniqueName="[Table2]" displayFolder="" count="0" memberValueDatatype="130" unbalanced="0"/>
    <cacheHierarchy uniqueName="[Table2].[الجهة الحكومية]" caption="الجهة الحكومية" attribute="1" defaultMemberUniqueName="[Table2].[الجهة الحكومية].[All]" allUniqueName="[Table2].[الجهة الحكومية].[All]" dimensionUniqueName="[Table2]" displayFolder="" count="0" memberValueDatatype="130" unbalanced="0"/>
    <cacheHierarchy uniqueName="[Table2].[المخرج]" caption="المخرج" attribute="1" defaultMemberUniqueName="[Table2].[المخرج].[All]" allUniqueName="[Table2].[المخرج].[All]" dimensionUniqueName="[Table2]" displayFolder="" count="0" memberValueDatatype="130" unbalanced="0"/>
    <cacheHierarchy uniqueName="[Table2].[الوحدة]" caption="الوحدة" attribute="1" defaultMemberUniqueName="[Table2].[الوحدة].[All]" allUniqueName="[Table2].[الوحدة].[All]" dimensionUniqueName="[Table2]" displayFolder="" count="0" memberValueDatatype="130" unbalanced="0"/>
    <cacheHierarchy uniqueName="[Table2].[تكلفة الحبة اللواحدة]" caption="تكلفة الحبة اللواحدة" attribute="1" defaultMemberUniqueName="[Table2].[تكلفة الحبة اللواحدة].[All]" allUniqueName="[Table2].[تكلفة الحبة اللواحدة].[All]" dimensionUniqueName="[Table2]" displayFolder="" count="0" memberValueDatatype="20" unbalanced="0"/>
    <cacheHierarchy uniqueName="[Table2].[إجمالي التكاليف للحبة الواحدة]" caption="إجمالي التكاليف للحبة الواحدة" attribute="1" defaultMemberUniqueName="[Table2].[إجمالي التكاليف للحبة الواحدة].[All]" allUniqueName="[Table2].[إجمالي التكاليف للحبة الواحدة].[All]" dimensionUniqueName="[Table2]" displayFolder="" count="0" memberValueDatatype="20" unbalanced="0"/>
    <cacheHierarchy uniqueName="[Table2].[التكاليف  التشغيلية 20%]" caption="التكاليف  التشغيلية 20%" attribute="1" defaultMemberUniqueName="[Table2].[التكاليف  التشغيلية 20%].[All]" allUniqueName="[Table2].[التكاليف  التشغيلية 20%].[All]" dimensionUniqueName="[Table2]" displayFolder="" count="0" memberValueDatatype="5" unbalanced="0"/>
    <cacheHierarchy uniqueName="[Table2].[المخاطرة 10% ( تحسب تلقائيا )]" caption="المخاطرة 10% ( تحسب تلقائيا )" attribute="1" defaultMemberUniqueName="[Table2].[المخاطرة 10% ( تحسب تلقائيا )].[All]" allUniqueName="[Table2].[المخاطرة 10% ( تحسب تلقائيا )].[All]" dimensionUniqueName="[Table2]" displayFolder="" count="0" memberValueDatatype="5" unbalanced="0"/>
    <cacheHierarchy uniqueName="[Table2].[إجمالي التكاليف]" caption="إجمالي التكاليف" attribute="1" defaultMemberUniqueName="[Table2].[إجمالي التكاليف].[All]" allUniqueName="[Table2].[إجمالي التكاليف].[All]" dimensionUniqueName="[Table2]" displayFolder="" count="0" memberValueDatatype="5" unbalanced="0"/>
    <cacheHierarchy uniqueName="[Table2].[ضريبة المنتج الواحد]" caption="ضريبة المنتج الواحد" attribute="1" defaultMemberUniqueName="[Table2].[ضريبة المنتج الواحد].[All]" allUniqueName="[Table2].[ضريبة المنتج الواحد].[All]" dimensionUniqueName="[Table2]" displayFolder="" count="0" memberValueDatatype="5" unbalanced="0"/>
    <cacheHierarchy uniqueName="[Table2].[الإجمالي للبيع]" caption="الإجمالي للبيع" attribute="1" defaultMemberUniqueName="[Table2].[الإجمالي للبيع].[All]" allUniqueName="[Table2].[الإجمالي للبيع].[All]" dimensionUniqueName="[Table2]" displayFolder="" count="0" memberValueDatatype="5" unbalanced="0"/>
    <cacheHierarchy uniqueName="[Table2].[الكمية]" caption="الكمية" attribute="1" defaultMemberUniqueName="[Table2].[الكمية].[All]" allUniqueName="[Table2].[الكمية].[All]" dimensionUniqueName="[Table2]" displayFolder="" count="0" memberValueDatatype="20" unbalanced="0"/>
    <cacheHierarchy uniqueName="[Table2].[اجمالي بدون ضريبة]" caption="اجمالي بدون ضريبة" attribute="1" defaultMemberUniqueName="[Table2].[اجمالي بدون ضريبة].[All]" allUniqueName="[Table2].[اجمالي بدون ضريبة].[All]" dimensionUniqueName="[Table2]" displayFolder="" count="0" memberValueDatatype="5" unbalanced="0"/>
    <cacheHierarchy uniqueName="[Table2].[ضريبة]" caption="ضريبة" attribute="1" defaultMemberUniqueName="[Table2].[ضريبة].[All]" allUniqueName="[Table2].[ضريبة].[All]" dimensionUniqueName="[Table2]" displayFolder="" count="0" memberValueDatatype="5" unbalanced="0"/>
    <cacheHierarchy uniqueName="[Table2].[الإجمالي مع الضريبة]" caption="الإجمالي مع الضريبة" attribute="1" defaultMemberUniqueName="[Table2].[الإجمالي مع الضريبة].[All]" allUniqueName="[Table2].[الإجمالي مع الضريبة].[All]" dimensionUniqueName="[Table2]" displayFolder="" count="0" memberValueDatatype="5" unbalanced="0"/>
    <cacheHierarchy uniqueName="[Table2].[اجمالي الربح]" caption="اجمالي الربح" attribute="1" defaultMemberUniqueName="[Table2].[اجمالي الربح].[All]" allUniqueName="[Table2].[اجمالي الربح].[All]" dimensionUniqueName="[Table2]" displayFolder="" count="0" memberValueDatatype="5" unbalanced="0"/>
    <cacheHierarchy uniqueName="[Table1].[تاريخ بداية التقديم (Month Index)]" caption="تاريخ بداية التقديم (Month Index)" attribute="1" defaultMemberUniqueName="[Table1].[تاريخ بداية التقديم (Month Index)].[All]" allUniqueName="[Table1].[تاريخ بداية التقديم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تاريخ بداية التقديم]" caption="Count of تاريخ بداية التقديم" measure="1" displayFolder="" measureGroup="Table1" count="0" hidden="1">
      <extLst>
        <ext xmlns:x15="http://schemas.microsoft.com/office/spreadsheetml/2010/11/main" uri="{B97F6D7D-B522-45F9-BDA1-12C45D357490}">
          <x15:cacheHierarchy aggregatedColumn="5"/>
        </ext>
      </extLst>
    </cacheHierarchy>
    <cacheHierarchy uniqueName="[Measures].[Count of اسم المشروع]" caption="Count of اسم المشروع" measure="1" displayFolder="" measureGroup="Table1" count="0" hidden="1">
      <extLst>
        <ext xmlns:x15="http://schemas.microsoft.com/office/spreadsheetml/2010/11/main" uri="{B97F6D7D-B522-45F9-BDA1-12C45D357490}">
          <x15:cacheHierarchy aggregatedColumn="0"/>
        </ext>
      </extLst>
    </cacheHierarchy>
    <cacheHierarchy uniqueName="[Measures].[Count of الجهة الحكومية]" caption="Count of الجهة الحكومية" measure="1" displayFolder="" measureGroup="Table2" count="0" hidden="1">
      <extLst>
        <ext xmlns:x15="http://schemas.microsoft.com/office/spreadsheetml/2010/11/main" uri="{B97F6D7D-B522-45F9-BDA1-12C45D357490}">
          <x15:cacheHierarchy aggregatedColumn="18"/>
        </ext>
      </extLst>
    </cacheHierarchy>
    <cacheHierarchy uniqueName="[Measures].[Distinct Count of الجهة الحكومية]" caption="Distinct Count of الجهة الحكومية" measure="1" displayFolder="" measureGroup="Table2" count="0" hidden="1">
      <extLst>
        <ext xmlns:x15="http://schemas.microsoft.com/office/spreadsheetml/2010/11/main" uri="{B97F6D7D-B522-45F9-BDA1-12C45D357490}">
          <x15:cacheHierarchy aggregatedColumn="18"/>
        </ext>
      </extLst>
    </cacheHierarchy>
    <cacheHierarchy uniqueName="[Measures].[Sum of قيمة المشروع]" caption="Sum of قيمة المشروع" measure="1" displayFolder="" measureGroup="Table1" count="0" hidden="1">
      <extLst>
        <ext xmlns:x15="http://schemas.microsoft.com/office/spreadsheetml/2010/11/main" uri="{B97F6D7D-B522-45F9-BDA1-12C45D357490}">
          <x15:cacheHierarchy aggregatedColumn="8"/>
        </ext>
      </extLst>
    </cacheHierarchy>
    <cacheHierarchy uniqueName="[Measures].[Sum of نسبة الربحية المتوقعة]" caption="Sum of نسبة الربحية المتوقعة" measure="1" displayFolder="" measureGroup="Table1" count="0" hidden="1">
      <extLst>
        <ext xmlns:x15="http://schemas.microsoft.com/office/spreadsheetml/2010/11/main" uri="{B97F6D7D-B522-45F9-BDA1-12C45D357490}">
          <x15:cacheHierarchy aggregatedColumn="11"/>
        </ext>
      </extLst>
    </cacheHierarchy>
    <cacheHierarchy uniqueName="[Measures].[Sum of الكمية]" caption="Sum of الكمية" measure="1" displayFolder="" measureGroup="Table2" count="0" hidden="1">
      <extLst>
        <ext xmlns:x15="http://schemas.microsoft.com/office/spreadsheetml/2010/11/main" uri="{B97F6D7D-B522-45F9-BDA1-12C45D357490}">
          <x15:cacheHierarchy aggregatedColumn="28"/>
        </ext>
      </extLst>
    </cacheHierarchy>
    <cacheHierarchy uniqueName="[Measures].[Sum of اجمالي بدون ضريبة]" caption="Sum of اجمالي بدون ضريبة" measure="1" displayFolder="" measureGroup="Table2" count="0" hidden="1">
      <extLst>
        <ext xmlns:x15="http://schemas.microsoft.com/office/spreadsheetml/2010/11/main" uri="{B97F6D7D-B522-45F9-BDA1-12C45D357490}">
          <x15:cacheHierarchy aggregatedColumn="29"/>
        </ext>
      </extLst>
    </cacheHierarchy>
    <cacheHierarchy uniqueName="[Measures].[Sum of ضريبة]" caption="Sum of ضريبة" measure="1" displayFolder="" measureGroup="Table2" count="0" hidden="1">
      <extLst>
        <ext xmlns:x15="http://schemas.microsoft.com/office/spreadsheetml/2010/11/main" uri="{B97F6D7D-B522-45F9-BDA1-12C45D357490}">
          <x15:cacheHierarchy aggregatedColumn="30"/>
        </ext>
      </extLst>
    </cacheHierarchy>
    <cacheHierarchy uniqueName="[Measures].[Sum of الإجمالي مع الضريبة]" caption="Sum of الإجمالي مع الضريبة" measure="1" displayFolder="" measureGroup="Table2" count="0" hidden="1">
      <extLst>
        <ext xmlns:x15="http://schemas.microsoft.com/office/spreadsheetml/2010/11/main" uri="{B97F6D7D-B522-45F9-BDA1-12C45D357490}">
          <x15:cacheHierarchy aggregatedColumn="31"/>
        </ext>
      </extLst>
    </cacheHierarchy>
    <cacheHierarchy uniqueName="[Measures].[Sum of اجمالي الربح]" caption="Sum of اجمالي الربح" measure="1" displayFolder="" measureGroup="Table2" count="0" hidden="1">
      <extLst>
        <ext xmlns:x15="http://schemas.microsoft.com/office/spreadsheetml/2010/11/main" uri="{B97F6D7D-B522-45F9-BDA1-12C45D357490}">
          <x15:cacheHierarchy aggregatedColumn="32"/>
        </ext>
      </extLst>
    </cacheHierarchy>
    <cacheHierarchy uniqueName="[Measures].[Sum of تكلفة الحبة اللواحدة]" caption="Sum of تكلفة الحبة اللواحدة" measure="1" displayFolder="" measureGroup="Table2" count="0" hidden="1">
      <extLst>
        <ext xmlns:x15="http://schemas.microsoft.com/office/spreadsheetml/2010/11/main" uri="{B97F6D7D-B522-45F9-BDA1-12C45D357490}">
          <x15:cacheHierarchy aggregatedColumn="21"/>
        </ext>
      </extLst>
    </cacheHierarchy>
    <cacheHierarchy uniqueName="[Measures].[Sum of التكاليف  التشغيلية 20%]" caption="Sum of التكاليف  التشغيلية 20%" measure="1" displayFolder="" measureGroup="Table2" count="0" hidden="1"/>
    <cacheHierarchy uniqueName="[Measures].[Sum of المخاطرة 10% ( تحسب تلقائيا )]" caption="Sum of المخاطرة 10% ( تحسب تلقائيا )" measure="1" displayFolder="" measureGroup="Table2" count="0" hidden="1">
      <extLst>
        <ext xmlns:x15="http://schemas.microsoft.com/office/spreadsheetml/2010/11/main" uri="{B97F6D7D-B522-45F9-BDA1-12C45D357490}">
          <x15:cacheHierarchy aggregatedColumn="24"/>
        </ext>
      </extLst>
    </cacheHierarchy>
    <cacheHierarchy uniqueName="[Measures].[Sum of إجمالي التكاليف]" caption="Sum of إجمالي التكاليف" measure="1" displayFolder="" measureGroup="Table2" count="0" hidden="1"/>
    <cacheHierarchy uniqueName="[Measures].[Sum of ضريبة المنتج الواحد]" caption="Sum of ضريبة المنتج الواحد" measure="1" displayFolder="" measureGroup="Table2" count="0" hidden="1">
      <extLst>
        <ext xmlns:x15="http://schemas.microsoft.com/office/spreadsheetml/2010/11/main" uri="{B97F6D7D-B522-45F9-BDA1-12C45D357490}">
          <x15:cacheHierarchy aggregatedColumn="26"/>
        </ext>
      </extLst>
    </cacheHierarchy>
    <cacheHierarchy uniqueName="[Measures].[Sum of الإجمالي للبيع]" caption="Sum of الإجمالي للبيع" measure="1" displayFolder="" measureGroup="Table2" count="0" hidden="1">
      <extLst>
        <ext xmlns:x15="http://schemas.microsoft.com/office/spreadsheetml/2010/11/main" uri="{B97F6D7D-B522-45F9-BDA1-12C45D357490}">
          <x15:cacheHierarchy aggregatedColumn="27"/>
        </ext>
      </extLst>
    </cacheHierarchy>
    <cacheHierarchy uniqueName="[Measures].[Distinct Count of اسم المشروع]" caption="Distinct Count of اسم المشروع"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حالة المشروع]" caption="Count of حالة المشروع" measure="1" displayFolder="" measureGroup="Table1" count="0" hidden="1">
      <extLst>
        <ext xmlns:x15="http://schemas.microsoft.com/office/spreadsheetml/2010/11/main" uri="{B97F6D7D-B522-45F9-BDA1-12C45D357490}">
          <x15:cacheHierarchy aggregatedColumn="9"/>
        </ext>
      </extLst>
    </cacheHierarchy>
    <cacheHierarchy uniqueName="[Measures].[Sum of قيمة الكراسة]" caption="Sum of قيمة الكراسة" measure="1" displayFolder="" measureGroup="Table1" count="0" hidden="1">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633.856840393521" backgroundQuery="1" createdVersion="8" refreshedVersion="8" minRefreshableVersion="3" recordCount="0" supportSubquery="1" supportAdvancedDrill="1" xr:uid="{23595613-37CE-4F74-BF0E-55D663A96680}">
  <cacheSource type="external" connectionId="1"/>
  <cacheFields count="6">
    <cacheField name="[Table1].[حالة المشروع].[حالة المشروع]" caption="حالة المشروع" numFmtId="0" hierarchy="9" level="1">
      <sharedItems count="2">
        <s v="مرفوض"/>
        <s v="مقبول"/>
      </sharedItems>
    </cacheField>
    <cacheField name="[Measures].[Count of حالة المشروع]" caption="Count of حالة المشروع" numFmtId="0" hierarchy="55" level="32767"/>
    <cacheField name="[Measures].[Sum of قيمة الكراسة]" caption="Sum of قيمة الكراسة" numFmtId="0" hierarchy="56" level="32767"/>
    <cacheField name="[Measures].[Sum of قيمة المشروع]" caption="Sum of قيمة المشروع" numFmtId="0" hierarchy="41" level="32767"/>
    <cacheField name="[Table1].[تاريخ بداية التقديم (Month)].[تاريخ بداية التقديم (Month)]" caption="تاريخ بداية التقديم (Month)" numFmtId="0" hierarchy="14" level="1">
      <sharedItems containsSemiMixedTypes="0" containsNonDate="0" containsString="0"/>
    </cacheField>
    <cacheField name="[Table1].[الجهة الحكومية].[الجهة الحكومية]" caption="الجهة الحكومية" numFmtId="0" hierarchy="1" level="1">
      <sharedItems containsSemiMixedTypes="0" containsNonDate="0" containsString="0"/>
    </cacheField>
  </cacheFields>
  <cacheHierarchies count="57">
    <cacheHierarchy uniqueName="[Table1].[اسم المشروع]" caption="اسم المشروع" attribute="1" defaultMemberUniqueName="[Table1].[اسم المشروع].[All]" allUniqueName="[Table1].[اسم المشروع].[All]" dimensionUniqueName="[Table1]" displayFolder="" count="2" memberValueDatatype="130" unbalanced="0"/>
    <cacheHierarchy uniqueName="[Table1].[الجهة الحكومية]" caption="الجهة الحكومية" attribute="1" defaultMemberUniqueName="[Table1].[الجهة الحكومية].[All]" allUniqueName="[Table1].[الجهة الحكومية].[All]" dimensionUniqueName="[Table1]" displayFolder="" count="2" memberValueDatatype="130" unbalanced="0">
      <fieldsUsage count="2">
        <fieldUsage x="-1"/>
        <fieldUsage x="5"/>
      </fieldsUsage>
    </cacheHierarchy>
    <cacheHierarchy uniqueName="[Table1].[المنطقة]" caption="المنطقة" attribute="1" defaultMemberUniqueName="[Table1].[المنطقة].[All]" allUniqueName="[Table1].[المنطقة].[All]" dimensionUniqueName="[Table1]" displayFolder="" count="0" memberValueDatatype="130" unbalanced="0"/>
    <cacheHierarchy uniqueName="[Table1].[رقم المناقصة]" caption="رقم المناقصة" attribute="1" defaultMemberUniqueName="[Table1].[رقم المناقصة].[All]" allUniqueName="[Table1].[رقم المناقصة].[All]" dimensionUniqueName="[Table1]" displayFolder="" count="0" memberValueDatatype="5" unbalanced="0"/>
    <cacheHierarchy uniqueName="[Table1].[تفاصيل المناقصة]" caption="تفاصيل المناقصة" attribute="1" defaultMemberUniqueName="[Table1].[تفاصيل المناقصة].[All]" allUniqueName="[Table1].[تفاصيل المناقصة].[All]" dimensionUniqueName="[Table1]" displayFolder="" count="0" memberValueDatatype="130" unbalanced="0"/>
    <cacheHierarchy uniqueName="[Table1].[تاريخ بداية التقديم]" caption="تاريخ بداية التقديم" attribute="1" time="1" defaultMemberUniqueName="[Table1].[تاريخ بداية التقديم].[All]" allUniqueName="[Table1].[تاريخ بداية التقديم].[All]" dimensionUniqueName="[Table1]" displayFolder="" count="0" memberValueDatatype="7" unbalanced="0"/>
    <cacheHierarchy uniqueName="[Table1].[تاريخ انتهاء التقديم]" caption="تاريخ انتهاء التقديم" attribute="1" time="1" defaultMemberUniqueName="[Table1].[تاريخ انتهاء التقديم].[All]" allUniqueName="[Table1].[تاريخ انتهاء التقديم].[All]" dimensionUniqueName="[Table1]" displayFolder="" count="0" memberValueDatatype="7" unbalanced="0"/>
    <cacheHierarchy uniqueName="[Table1].[قيمة الكراسة]" caption="قيمة الكراسة" attribute="1" defaultMemberUniqueName="[Table1].[قيمة الكراسة].[All]" allUniqueName="[Table1].[قيمة الكراسة].[All]" dimensionUniqueName="[Table1]" displayFolder="" count="0" memberValueDatatype="5" unbalanced="0"/>
    <cacheHierarchy uniqueName="[Table1].[قيمة المشروع]" caption="قيمة المشروع" attribute="1" defaultMemberUniqueName="[Table1].[قيمة المشروع].[All]" allUniqueName="[Table1].[قيمة المشروع].[All]" dimensionUniqueName="[Table1]" displayFolder="" count="0" memberValueDatatype="20" unbalanced="0"/>
    <cacheHierarchy uniqueName="[Table1].[حالة المشروع]" caption="حالة المشروع" attribute="1" defaultMemberUniqueName="[Table1].[حالة المشروع].[All]" allUniqueName="[Table1].[حالة المشروع].[All]" dimensionUniqueName="[Table1]" displayFolder="" count="2" memberValueDatatype="130" unbalanced="0">
      <fieldsUsage count="2">
        <fieldUsage x="-1"/>
        <fieldUsage x="0"/>
      </fieldsUsage>
    </cacheHierarchy>
    <cacheHierarchy uniqueName="[Table1].[الفرق]" caption="الفرق" attribute="1" defaultMemberUniqueName="[Table1].[الفرق].[All]" allUniqueName="[Table1].[الفرق].[All]" dimensionUniqueName="[Table1]" displayFolder="" count="0" memberValueDatatype="5" unbalanced="0"/>
    <cacheHierarchy uniqueName="[Table1].[نسبة الربحية المتوقعة]" caption="نسبة الربحية المتوقعة" attribute="1" defaultMemberUniqueName="[Table1].[نسبة الربحية المتوقعة].[All]" allUniqueName="[Table1].[نسبة الربحية المتوقعة].[All]" dimensionUniqueName="[Table1]" displayFolder="" count="0" memberValueDatatype="5" unbalanced="0"/>
    <cacheHierarchy uniqueName="[Table1].[تاريخ بداية التقديم (Year)]" caption="تاريخ بداية التقديم (Year)" attribute="1" defaultMemberUniqueName="[Table1].[تاريخ بداية التقديم (Year)].[All]" allUniqueName="[Table1].[تاريخ بداية التقديم (Year)].[All]" dimensionUniqueName="[Table1]" displayFolder="" count="2" memberValueDatatype="130" unbalanced="0"/>
    <cacheHierarchy uniqueName="[Table1].[تاريخ بداية التقديم (Quarter)]" caption="تاريخ بداية التقديم (Quarter)" attribute="1" defaultMemberUniqueName="[Table1].[تاريخ بداية التقديم (Quarter)].[All]" allUniqueName="[Table1].[تاريخ بداية التقديم (Quarter)].[All]" dimensionUniqueName="[Table1]" displayFolder="" count="0" memberValueDatatype="130" unbalanced="0"/>
    <cacheHierarchy uniqueName="[Table1].[تاريخ بداية التقديم (Month)]" caption="تاريخ بداية التقديم (Month)" attribute="1" defaultMemberUniqueName="[Table1].[تاريخ بداية التقديم (Month)].[All]" allUniqueName="[Table1].[تاريخ بداية التقديم (Month)].[All]" dimensionUniqueName="[Table1]" displayFolder="" count="2" memberValueDatatype="130" unbalanced="0">
      <fieldsUsage count="2">
        <fieldUsage x="-1"/>
        <fieldUsage x="4"/>
      </fieldsUsage>
    </cacheHierarchy>
    <cacheHierarchy uniqueName="[Table1].[قيمة الربح]" caption="قيمة الربح" attribute="1" defaultMemberUniqueName="[Table1].[قيمة الربح].[All]" allUniqueName="[Table1].[قيمة الربح].[All]" dimensionUniqueName="[Table1]" displayFolder="" count="0" memberValueDatatype="5" unbalanced="0"/>
    <cacheHierarchy uniqueName="[Table1].[قيمة العمولات]" caption="قيمة العمولات" attribute="1" defaultMemberUniqueName="[Table1].[قيمة العمولات].[All]" allUniqueName="[Table1].[قيمة العمولات].[All]" dimensionUniqueName="[Table1]" displayFolder="" count="0" memberValueDatatype="20" unbalanced="0"/>
    <cacheHierarchy uniqueName="[Table2].[اسم المشروع]" caption="اسم المشروع" attribute="1" defaultMemberUniqueName="[Table2].[اسم المشروع].[All]" allUniqueName="[Table2].[اسم المشروع].[All]" dimensionUniqueName="[Table2]" displayFolder="" count="0" memberValueDatatype="130" unbalanced="0"/>
    <cacheHierarchy uniqueName="[Table2].[الجهة الحكومية]" caption="الجهة الحكومية" attribute="1" defaultMemberUniqueName="[Table2].[الجهة الحكومية].[All]" allUniqueName="[Table2].[الجهة الحكومية].[All]" dimensionUniqueName="[Table2]" displayFolder="" count="0" memberValueDatatype="130" unbalanced="0"/>
    <cacheHierarchy uniqueName="[Table2].[المخرج]" caption="المخرج" attribute="1" defaultMemberUniqueName="[Table2].[المخرج].[All]" allUniqueName="[Table2].[المخرج].[All]" dimensionUniqueName="[Table2]" displayFolder="" count="0" memberValueDatatype="130" unbalanced="0"/>
    <cacheHierarchy uniqueName="[Table2].[الوحدة]" caption="الوحدة" attribute="1" defaultMemberUniqueName="[Table2].[الوحدة].[All]" allUniqueName="[Table2].[الوحدة].[All]" dimensionUniqueName="[Table2]" displayFolder="" count="0" memberValueDatatype="130" unbalanced="0"/>
    <cacheHierarchy uniqueName="[Table2].[تكلفة الحبة اللواحدة]" caption="تكلفة الحبة اللواحدة" attribute="1" defaultMemberUniqueName="[Table2].[تكلفة الحبة اللواحدة].[All]" allUniqueName="[Table2].[تكلفة الحبة اللواحدة].[All]" dimensionUniqueName="[Table2]" displayFolder="" count="0" memberValueDatatype="20" unbalanced="0"/>
    <cacheHierarchy uniqueName="[Table2].[إجمالي التكاليف للحبة الواحدة]" caption="إجمالي التكاليف للحبة الواحدة" attribute="1" defaultMemberUniqueName="[Table2].[إجمالي التكاليف للحبة الواحدة].[All]" allUniqueName="[Table2].[إجمالي التكاليف للحبة الواحدة].[All]" dimensionUniqueName="[Table2]" displayFolder="" count="0" memberValueDatatype="20" unbalanced="0"/>
    <cacheHierarchy uniqueName="[Table2].[التكاليف  التشغيلية 20%]" caption="التكاليف  التشغيلية 20%" attribute="1" defaultMemberUniqueName="[Table2].[التكاليف  التشغيلية 20%].[All]" allUniqueName="[Table2].[التكاليف  التشغيلية 20%].[All]" dimensionUniqueName="[Table2]" displayFolder="" count="0" memberValueDatatype="5" unbalanced="0"/>
    <cacheHierarchy uniqueName="[Table2].[المخاطرة 10% ( تحسب تلقائيا )]" caption="المخاطرة 10% ( تحسب تلقائيا )" attribute="1" defaultMemberUniqueName="[Table2].[المخاطرة 10% ( تحسب تلقائيا )].[All]" allUniqueName="[Table2].[المخاطرة 10% ( تحسب تلقائيا )].[All]" dimensionUniqueName="[Table2]" displayFolder="" count="0" memberValueDatatype="5" unbalanced="0"/>
    <cacheHierarchy uniqueName="[Table2].[إجمالي التكاليف]" caption="إجمالي التكاليف" attribute="1" defaultMemberUniqueName="[Table2].[إجمالي التكاليف].[All]" allUniqueName="[Table2].[إجمالي التكاليف].[All]" dimensionUniqueName="[Table2]" displayFolder="" count="0" memberValueDatatype="5" unbalanced="0"/>
    <cacheHierarchy uniqueName="[Table2].[ضريبة المنتج الواحد]" caption="ضريبة المنتج الواحد" attribute="1" defaultMemberUniqueName="[Table2].[ضريبة المنتج الواحد].[All]" allUniqueName="[Table2].[ضريبة المنتج الواحد].[All]" dimensionUniqueName="[Table2]" displayFolder="" count="0" memberValueDatatype="5" unbalanced="0"/>
    <cacheHierarchy uniqueName="[Table2].[الإجمالي للبيع]" caption="الإجمالي للبيع" attribute="1" defaultMemberUniqueName="[Table2].[الإجمالي للبيع].[All]" allUniqueName="[Table2].[الإجمالي للبيع].[All]" dimensionUniqueName="[Table2]" displayFolder="" count="0" memberValueDatatype="5" unbalanced="0"/>
    <cacheHierarchy uniqueName="[Table2].[الكمية]" caption="الكمية" attribute="1" defaultMemberUniqueName="[Table2].[الكمية].[All]" allUniqueName="[Table2].[الكمية].[All]" dimensionUniqueName="[Table2]" displayFolder="" count="0" memberValueDatatype="20" unbalanced="0"/>
    <cacheHierarchy uniqueName="[Table2].[اجمالي بدون ضريبة]" caption="اجمالي بدون ضريبة" attribute="1" defaultMemberUniqueName="[Table2].[اجمالي بدون ضريبة].[All]" allUniqueName="[Table2].[اجمالي بدون ضريبة].[All]" dimensionUniqueName="[Table2]" displayFolder="" count="0" memberValueDatatype="5" unbalanced="0"/>
    <cacheHierarchy uniqueName="[Table2].[ضريبة]" caption="ضريبة" attribute="1" defaultMemberUniqueName="[Table2].[ضريبة].[All]" allUniqueName="[Table2].[ضريبة].[All]" dimensionUniqueName="[Table2]" displayFolder="" count="0" memberValueDatatype="5" unbalanced="0"/>
    <cacheHierarchy uniqueName="[Table2].[الإجمالي مع الضريبة]" caption="الإجمالي مع الضريبة" attribute="1" defaultMemberUniqueName="[Table2].[الإجمالي مع الضريبة].[All]" allUniqueName="[Table2].[الإجمالي مع الضريبة].[All]" dimensionUniqueName="[Table2]" displayFolder="" count="0" memberValueDatatype="5" unbalanced="0"/>
    <cacheHierarchy uniqueName="[Table2].[اجمالي الربح]" caption="اجمالي الربح" attribute="1" defaultMemberUniqueName="[Table2].[اجمالي الربح].[All]" allUniqueName="[Table2].[اجمالي الربح].[All]" dimensionUniqueName="[Table2]" displayFolder="" count="0" memberValueDatatype="5" unbalanced="0"/>
    <cacheHierarchy uniqueName="[Table1].[تاريخ بداية التقديم (Month Index)]" caption="تاريخ بداية التقديم (Month Index)" attribute="1" defaultMemberUniqueName="[Table1].[تاريخ بداية التقديم (Month Index)].[All]" allUniqueName="[Table1].[تاريخ بداية التقديم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تاريخ بداية التقديم]" caption="Count of تاريخ بداية التقديم" measure="1" displayFolder="" measureGroup="Table1" count="0" hidden="1">
      <extLst>
        <ext xmlns:x15="http://schemas.microsoft.com/office/spreadsheetml/2010/11/main" uri="{B97F6D7D-B522-45F9-BDA1-12C45D357490}">
          <x15:cacheHierarchy aggregatedColumn="5"/>
        </ext>
      </extLst>
    </cacheHierarchy>
    <cacheHierarchy uniqueName="[Measures].[Count of اسم المشروع]" caption="Count of اسم المشروع" measure="1" displayFolder="" measureGroup="Table1" count="0" hidden="1">
      <extLst>
        <ext xmlns:x15="http://schemas.microsoft.com/office/spreadsheetml/2010/11/main" uri="{B97F6D7D-B522-45F9-BDA1-12C45D357490}">
          <x15:cacheHierarchy aggregatedColumn="0"/>
        </ext>
      </extLst>
    </cacheHierarchy>
    <cacheHierarchy uniqueName="[Measures].[Count of الجهة الحكومية]" caption="Count of الجهة الحكومية" measure="1" displayFolder="" measureGroup="Table2" count="0" hidden="1">
      <extLst>
        <ext xmlns:x15="http://schemas.microsoft.com/office/spreadsheetml/2010/11/main" uri="{B97F6D7D-B522-45F9-BDA1-12C45D357490}">
          <x15:cacheHierarchy aggregatedColumn="18"/>
        </ext>
      </extLst>
    </cacheHierarchy>
    <cacheHierarchy uniqueName="[Measures].[Distinct Count of الجهة الحكومية]" caption="Distinct Count of الجهة الحكومية" measure="1" displayFolder="" measureGroup="Table2" count="0" hidden="1">
      <extLst>
        <ext xmlns:x15="http://schemas.microsoft.com/office/spreadsheetml/2010/11/main" uri="{B97F6D7D-B522-45F9-BDA1-12C45D357490}">
          <x15:cacheHierarchy aggregatedColumn="18"/>
        </ext>
      </extLst>
    </cacheHierarchy>
    <cacheHierarchy uniqueName="[Measures].[Sum of قيمة المشروع]" caption="Sum of قيمة المشروع" measure="1" displayFolder="" measureGroup="Table1" count="0" oneField="1" hidden="1">
      <fieldsUsage count="1">
        <fieldUsage x="3"/>
      </fieldsUsage>
      <extLst>
        <ext xmlns:x15="http://schemas.microsoft.com/office/spreadsheetml/2010/11/main" uri="{B97F6D7D-B522-45F9-BDA1-12C45D357490}">
          <x15:cacheHierarchy aggregatedColumn="8"/>
        </ext>
      </extLst>
    </cacheHierarchy>
    <cacheHierarchy uniqueName="[Measures].[Sum of نسبة الربحية المتوقعة]" caption="Sum of نسبة الربحية المتوقعة" measure="1" displayFolder="" measureGroup="Table1" count="0" hidden="1">
      <extLst>
        <ext xmlns:x15="http://schemas.microsoft.com/office/spreadsheetml/2010/11/main" uri="{B97F6D7D-B522-45F9-BDA1-12C45D357490}">
          <x15:cacheHierarchy aggregatedColumn="11"/>
        </ext>
      </extLst>
    </cacheHierarchy>
    <cacheHierarchy uniqueName="[Measures].[Sum of الكمية]" caption="Sum of الكمية" measure="1" displayFolder="" measureGroup="Table2" count="0" hidden="1">
      <extLst>
        <ext xmlns:x15="http://schemas.microsoft.com/office/spreadsheetml/2010/11/main" uri="{B97F6D7D-B522-45F9-BDA1-12C45D357490}">
          <x15:cacheHierarchy aggregatedColumn="28"/>
        </ext>
      </extLst>
    </cacheHierarchy>
    <cacheHierarchy uniqueName="[Measures].[Sum of اجمالي بدون ضريبة]" caption="Sum of اجمالي بدون ضريبة" measure="1" displayFolder="" measureGroup="Table2" count="0" hidden="1">
      <extLst>
        <ext xmlns:x15="http://schemas.microsoft.com/office/spreadsheetml/2010/11/main" uri="{B97F6D7D-B522-45F9-BDA1-12C45D357490}">
          <x15:cacheHierarchy aggregatedColumn="29"/>
        </ext>
      </extLst>
    </cacheHierarchy>
    <cacheHierarchy uniqueName="[Measures].[Sum of ضريبة]" caption="Sum of ضريبة" measure="1" displayFolder="" measureGroup="Table2" count="0" hidden="1">
      <extLst>
        <ext xmlns:x15="http://schemas.microsoft.com/office/spreadsheetml/2010/11/main" uri="{B97F6D7D-B522-45F9-BDA1-12C45D357490}">
          <x15:cacheHierarchy aggregatedColumn="30"/>
        </ext>
      </extLst>
    </cacheHierarchy>
    <cacheHierarchy uniqueName="[Measures].[Sum of الإجمالي مع الضريبة]" caption="Sum of الإجمالي مع الضريبة" measure="1" displayFolder="" measureGroup="Table2" count="0" hidden="1">
      <extLst>
        <ext xmlns:x15="http://schemas.microsoft.com/office/spreadsheetml/2010/11/main" uri="{B97F6D7D-B522-45F9-BDA1-12C45D357490}">
          <x15:cacheHierarchy aggregatedColumn="31"/>
        </ext>
      </extLst>
    </cacheHierarchy>
    <cacheHierarchy uniqueName="[Measures].[Sum of اجمالي الربح]" caption="Sum of اجمالي الربح" measure="1" displayFolder="" measureGroup="Table2" count="0" hidden="1">
      <extLst>
        <ext xmlns:x15="http://schemas.microsoft.com/office/spreadsheetml/2010/11/main" uri="{B97F6D7D-B522-45F9-BDA1-12C45D357490}">
          <x15:cacheHierarchy aggregatedColumn="32"/>
        </ext>
      </extLst>
    </cacheHierarchy>
    <cacheHierarchy uniqueName="[Measures].[Sum of تكلفة الحبة اللواحدة]" caption="Sum of تكلفة الحبة اللواحدة" measure="1" displayFolder="" measureGroup="Table2" count="0" hidden="1">
      <extLst>
        <ext xmlns:x15="http://schemas.microsoft.com/office/spreadsheetml/2010/11/main" uri="{B97F6D7D-B522-45F9-BDA1-12C45D357490}">
          <x15:cacheHierarchy aggregatedColumn="21"/>
        </ext>
      </extLst>
    </cacheHierarchy>
    <cacheHierarchy uniqueName="[Measures].[Sum of التكاليف  التشغيلية 20%]" caption="Sum of التكاليف  التشغيلية 20%" measure="1" displayFolder="" measureGroup="Table2" count="0" hidden="1"/>
    <cacheHierarchy uniqueName="[Measures].[Sum of المخاطرة 10% ( تحسب تلقائيا )]" caption="Sum of المخاطرة 10% ( تحسب تلقائيا )" measure="1" displayFolder="" measureGroup="Table2" count="0" hidden="1">
      <extLst>
        <ext xmlns:x15="http://schemas.microsoft.com/office/spreadsheetml/2010/11/main" uri="{B97F6D7D-B522-45F9-BDA1-12C45D357490}">
          <x15:cacheHierarchy aggregatedColumn="24"/>
        </ext>
      </extLst>
    </cacheHierarchy>
    <cacheHierarchy uniqueName="[Measures].[Sum of إجمالي التكاليف]" caption="Sum of إجمالي التكاليف" measure="1" displayFolder="" measureGroup="Table2" count="0" hidden="1"/>
    <cacheHierarchy uniqueName="[Measures].[Sum of ضريبة المنتج الواحد]" caption="Sum of ضريبة المنتج الواحد" measure="1" displayFolder="" measureGroup="Table2" count="0" hidden="1">
      <extLst>
        <ext xmlns:x15="http://schemas.microsoft.com/office/spreadsheetml/2010/11/main" uri="{B97F6D7D-B522-45F9-BDA1-12C45D357490}">
          <x15:cacheHierarchy aggregatedColumn="26"/>
        </ext>
      </extLst>
    </cacheHierarchy>
    <cacheHierarchy uniqueName="[Measures].[Sum of الإجمالي للبيع]" caption="Sum of الإجمالي للبيع" measure="1" displayFolder="" measureGroup="Table2" count="0" hidden="1">
      <extLst>
        <ext xmlns:x15="http://schemas.microsoft.com/office/spreadsheetml/2010/11/main" uri="{B97F6D7D-B522-45F9-BDA1-12C45D357490}">
          <x15:cacheHierarchy aggregatedColumn="27"/>
        </ext>
      </extLst>
    </cacheHierarchy>
    <cacheHierarchy uniqueName="[Measures].[Distinct Count of اسم المشروع]" caption="Distinct Count of اسم المشروع" measure="1" displayFolder="" measureGroup="Table1" count="0" hidden="1">
      <extLst>
        <ext xmlns:x15="http://schemas.microsoft.com/office/spreadsheetml/2010/11/main" uri="{B97F6D7D-B522-45F9-BDA1-12C45D357490}">
          <x15:cacheHierarchy aggregatedColumn="0"/>
        </ext>
      </extLst>
    </cacheHierarchy>
    <cacheHierarchy uniqueName="[Measures].[Count of حالة المشروع]" caption="Count of حالة المشروع"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قيمة الكراسة]" caption="Sum of قيمة الكراسة" measure="1" displayFolder="" measureGroup="Table1" count="0" oneField="1" hidden="1">
      <fieldsUsage count="1">
        <fieldUsage x="2"/>
      </fieldsUsage>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622.849879050926" backgroundQuery="1" createdVersion="3" refreshedVersion="8" minRefreshableVersion="3" recordCount="0" supportSubquery="1" supportAdvancedDrill="1" xr:uid="{ADE43C3C-D21F-41A3-8411-CAB50A6329A8}">
  <cacheSource type="external" connectionId="1">
    <extLst>
      <ext xmlns:x14="http://schemas.microsoft.com/office/spreadsheetml/2009/9/main" uri="{F057638F-6D5F-4e77-A914-E7F072B9BCA8}">
        <x14:sourceConnection name="ThisWorkbookDataModel"/>
      </ext>
    </extLst>
  </cacheSource>
  <cacheFields count="0"/>
  <cacheHierarchies count="57">
    <cacheHierarchy uniqueName="[Table1].[اسم المشروع]" caption="اسم المشروع" attribute="1" defaultMemberUniqueName="[Table1].[اسم المشروع].[All]" allUniqueName="[Table1].[اسم المشروع].[All]" dimensionUniqueName="[Table1]" displayFolder="" count="2" memberValueDatatype="130" unbalanced="0"/>
    <cacheHierarchy uniqueName="[Table1].[الجهة الحكومية]" caption="الجهة الحكومية" attribute="1" defaultMemberUniqueName="[Table1].[الجهة الحكومية].[All]" allUniqueName="[Table1].[الجهة الحكومية].[All]" dimensionUniqueName="[Table1]" displayFolder="" count="2" memberValueDatatype="130" unbalanced="0"/>
    <cacheHierarchy uniqueName="[Table1].[المنطقة]" caption="المنطقة" attribute="1" defaultMemberUniqueName="[Table1].[المنطقة].[All]" allUniqueName="[Table1].[المنطقة].[All]" dimensionUniqueName="[Table1]" displayFolder="" count="0" memberValueDatatype="130" unbalanced="0"/>
    <cacheHierarchy uniqueName="[Table1].[رقم المناقصة]" caption="رقم المناقصة" attribute="1" defaultMemberUniqueName="[Table1].[رقم المناقصة].[All]" allUniqueName="[Table1].[رقم المناقصة].[All]" dimensionUniqueName="[Table1]" displayFolder="" count="0" memberValueDatatype="5" unbalanced="0"/>
    <cacheHierarchy uniqueName="[Table1].[تفاصيل المناقصة]" caption="تفاصيل المناقصة" attribute="1" defaultMemberUniqueName="[Table1].[تفاصيل المناقصة].[All]" allUniqueName="[Table1].[تفاصيل المناقصة].[All]" dimensionUniqueName="[Table1]" displayFolder="" count="0" memberValueDatatype="130" unbalanced="0"/>
    <cacheHierarchy uniqueName="[Table1].[تاريخ بداية التقديم]" caption="تاريخ بداية التقديم" attribute="1" time="1" defaultMemberUniqueName="[Table1].[تاريخ بداية التقديم].[All]" allUniqueName="[Table1].[تاريخ بداية التقديم].[All]" dimensionUniqueName="[Table1]" displayFolder="" count="0" memberValueDatatype="7" unbalanced="0"/>
    <cacheHierarchy uniqueName="[Table1].[تاريخ انتهاء التقديم]" caption="تاريخ انتهاء التقديم" attribute="1" time="1" defaultMemberUniqueName="[Table1].[تاريخ انتهاء التقديم].[All]" allUniqueName="[Table1].[تاريخ انتهاء التقديم].[All]" dimensionUniqueName="[Table1]" displayFolder="" count="0" memberValueDatatype="7" unbalanced="0"/>
    <cacheHierarchy uniqueName="[Table1].[قيمة الكراسة]" caption="قيمة الكراسة" attribute="1" defaultMemberUniqueName="[Table1].[قيمة الكراسة].[All]" allUniqueName="[Table1].[قيمة الكراسة].[All]" dimensionUniqueName="[Table1]" displayFolder="" count="0" memberValueDatatype="5" unbalanced="0"/>
    <cacheHierarchy uniqueName="[Table1].[قيمة المشروع]" caption="قيمة المشروع" attribute="1" defaultMemberUniqueName="[Table1].[قيمة المشروع].[All]" allUniqueName="[Table1].[قيمة المشروع].[All]" dimensionUniqueName="[Table1]" displayFolder="" count="0" memberValueDatatype="20" unbalanced="0"/>
    <cacheHierarchy uniqueName="[Table1].[حالة المشروع]" caption="حالة المشروع" attribute="1" defaultMemberUniqueName="[Table1].[حالة المشروع].[All]" allUniqueName="[Table1].[حالة المشروع].[All]" dimensionUniqueName="[Table1]" displayFolder="" count="0" memberValueDatatype="130" unbalanced="0"/>
    <cacheHierarchy uniqueName="[Table1].[الفرق]" caption="الفرق" attribute="1" defaultMemberUniqueName="[Table1].[الفرق].[All]" allUniqueName="[Table1].[الفرق].[All]" dimensionUniqueName="[Table1]" displayFolder="" count="0" memberValueDatatype="5" unbalanced="0"/>
    <cacheHierarchy uniqueName="[Table1].[نسبة الربحية المتوقعة]" caption="نسبة الربحية المتوقعة" attribute="1" defaultMemberUniqueName="[Table1].[نسبة الربحية المتوقعة].[All]" allUniqueName="[Table1].[نسبة الربحية المتوقعة].[All]" dimensionUniqueName="[Table1]" displayFolder="" count="0" memberValueDatatype="5" unbalanced="0"/>
    <cacheHierarchy uniqueName="[Table1].[تاريخ بداية التقديم (Year)]" caption="تاريخ بداية التقديم (Year)" attribute="1" defaultMemberUniqueName="[Table1].[تاريخ بداية التقديم (Year)].[All]" allUniqueName="[Table1].[تاريخ بداية التقديم (Year)].[All]" dimensionUniqueName="[Table1]" displayFolder="" count="2" memberValueDatatype="130" unbalanced="0"/>
    <cacheHierarchy uniqueName="[Table1].[تاريخ بداية التقديم (Quarter)]" caption="تاريخ بداية التقديم (Quarter)" attribute="1" defaultMemberUniqueName="[Table1].[تاريخ بداية التقديم (Quarter)].[All]" allUniqueName="[Table1].[تاريخ بداية التقديم (Quarter)].[All]" dimensionUniqueName="[Table1]" displayFolder="" count="0" memberValueDatatype="130" unbalanced="0"/>
    <cacheHierarchy uniqueName="[Table1].[تاريخ بداية التقديم (Month)]" caption="تاريخ بداية التقديم (Month)" attribute="1" defaultMemberUniqueName="[Table1].[تاريخ بداية التقديم (Month)].[All]" allUniqueName="[Table1].[تاريخ بداية التقديم (Month)].[All]" dimensionUniqueName="[Table1]" displayFolder="" count="2" memberValueDatatype="130" unbalanced="0"/>
    <cacheHierarchy uniqueName="[Table1].[قيمة الربح]" caption="قيمة الربح" attribute="1" defaultMemberUniqueName="[Table1].[قيمة الربح].[All]" allUniqueName="[Table1].[قيمة الربح].[All]" dimensionUniqueName="[Table1]" displayFolder="" count="0" memberValueDatatype="5" unbalanced="0"/>
    <cacheHierarchy uniqueName="[Table1].[قيمة العمولات]" caption="قيمة العمولات" attribute="1" defaultMemberUniqueName="[Table1].[قيمة العمولات].[All]" allUniqueName="[Table1].[قيمة العمولات].[All]" dimensionUniqueName="[Table1]" displayFolder="" count="0" memberValueDatatype="20" unbalanced="0"/>
    <cacheHierarchy uniqueName="[Table2].[اسم المشروع]" caption="اسم المشروع" attribute="1" defaultMemberUniqueName="[Table2].[اسم المشروع].[All]" allUniqueName="[Table2].[اسم المشروع].[All]" dimensionUniqueName="[Table2]" displayFolder="" count="0" memberValueDatatype="130" unbalanced="0"/>
    <cacheHierarchy uniqueName="[Table2].[الجهة الحكومية]" caption="الجهة الحكومية" attribute="1" defaultMemberUniqueName="[Table2].[الجهة الحكومية].[All]" allUniqueName="[Table2].[الجهة الحكومية].[All]" dimensionUniqueName="[Table2]" displayFolder="" count="0" memberValueDatatype="130" unbalanced="0"/>
    <cacheHierarchy uniqueName="[Table2].[المخرج]" caption="المخرج" attribute="1" defaultMemberUniqueName="[Table2].[المخرج].[All]" allUniqueName="[Table2].[المخرج].[All]" dimensionUniqueName="[Table2]" displayFolder="" count="0" memberValueDatatype="130" unbalanced="0"/>
    <cacheHierarchy uniqueName="[Table2].[الوحدة]" caption="الوحدة" attribute="1" defaultMemberUniqueName="[Table2].[الوحدة].[All]" allUniqueName="[Table2].[الوحدة].[All]" dimensionUniqueName="[Table2]" displayFolder="" count="0" memberValueDatatype="130" unbalanced="0"/>
    <cacheHierarchy uniqueName="[Table2].[تكلفة الحبة اللواحدة]" caption="تكلفة الحبة اللواحدة" attribute="1" defaultMemberUniqueName="[Table2].[تكلفة الحبة اللواحدة].[All]" allUniqueName="[Table2].[تكلفة الحبة اللواحدة].[All]" dimensionUniqueName="[Table2]" displayFolder="" count="0" memberValueDatatype="20" unbalanced="0"/>
    <cacheHierarchy uniqueName="[Table2].[إجمالي التكاليف للحبة الواحدة]" caption="إجمالي التكاليف للحبة الواحدة" attribute="1" defaultMemberUniqueName="[Table2].[إجمالي التكاليف للحبة الواحدة].[All]" allUniqueName="[Table2].[إجمالي التكاليف للحبة الواحدة].[All]" dimensionUniqueName="[Table2]" displayFolder="" count="0" memberValueDatatype="20" unbalanced="0"/>
    <cacheHierarchy uniqueName="[Table2].[التكاليف  التشغيلية 20%]" caption="التكاليف  التشغيلية 20%" attribute="1" defaultMemberUniqueName="[Table2].[التكاليف  التشغيلية 20%].[All]" allUniqueName="[Table2].[التكاليف  التشغيلية 20%].[All]" dimensionUniqueName="[Table2]" displayFolder="" count="0" memberValueDatatype="5" unbalanced="0"/>
    <cacheHierarchy uniqueName="[Table2].[المخاطرة 10% ( تحسب تلقائيا )]" caption="المخاطرة 10% ( تحسب تلقائيا )" attribute="1" defaultMemberUniqueName="[Table2].[المخاطرة 10% ( تحسب تلقائيا )].[All]" allUniqueName="[Table2].[المخاطرة 10% ( تحسب تلقائيا )].[All]" dimensionUniqueName="[Table2]" displayFolder="" count="0" memberValueDatatype="5" unbalanced="0"/>
    <cacheHierarchy uniqueName="[Table2].[إجمالي التكاليف]" caption="إجمالي التكاليف" attribute="1" defaultMemberUniqueName="[Table2].[إجمالي التكاليف].[All]" allUniqueName="[Table2].[إجمالي التكاليف].[All]" dimensionUniqueName="[Table2]" displayFolder="" count="0" memberValueDatatype="5" unbalanced="0"/>
    <cacheHierarchy uniqueName="[Table2].[ضريبة المنتج الواحد]" caption="ضريبة المنتج الواحد" attribute="1" defaultMemberUniqueName="[Table2].[ضريبة المنتج الواحد].[All]" allUniqueName="[Table2].[ضريبة المنتج الواحد].[All]" dimensionUniqueName="[Table2]" displayFolder="" count="0" memberValueDatatype="5" unbalanced="0"/>
    <cacheHierarchy uniqueName="[Table2].[الإجمالي للبيع]" caption="الإجمالي للبيع" attribute="1" defaultMemberUniqueName="[Table2].[الإجمالي للبيع].[All]" allUniqueName="[Table2].[الإجمالي للبيع].[All]" dimensionUniqueName="[Table2]" displayFolder="" count="0" memberValueDatatype="5" unbalanced="0"/>
    <cacheHierarchy uniqueName="[Table2].[الكمية]" caption="الكمية" attribute="1" defaultMemberUniqueName="[Table2].[الكمية].[All]" allUniqueName="[Table2].[الكمية].[All]" dimensionUniqueName="[Table2]" displayFolder="" count="0" memberValueDatatype="20" unbalanced="0"/>
    <cacheHierarchy uniqueName="[Table2].[اجمالي بدون ضريبة]" caption="اجمالي بدون ضريبة" attribute="1" defaultMemberUniqueName="[Table2].[اجمالي بدون ضريبة].[All]" allUniqueName="[Table2].[اجمالي بدون ضريبة].[All]" dimensionUniqueName="[Table2]" displayFolder="" count="0" memberValueDatatype="5" unbalanced="0"/>
    <cacheHierarchy uniqueName="[Table2].[ضريبة]" caption="ضريبة" attribute="1" defaultMemberUniqueName="[Table2].[ضريبة].[All]" allUniqueName="[Table2].[ضريبة].[All]" dimensionUniqueName="[Table2]" displayFolder="" count="0" memberValueDatatype="5" unbalanced="0"/>
    <cacheHierarchy uniqueName="[Table2].[الإجمالي مع الضريبة]" caption="الإجمالي مع الضريبة" attribute="1" defaultMemberUniqueName="[Table2].[الإجمالي مع الضريبة].[All]" allUniqueName="[Table2].[الإجمالي مع الضريبة].[All]" dimensionUniqueName="[Table2]" displayFolder="" count="0" memberValueDatatype="5" unbalanced="0"/>
    <cacheHierarchy uniqueName="[Table2].[اجمالي الربح]" caption="اجمالي الربح" attribute="1" defaultMemberUniqueName="[Table2].[اجمالي الربح].[All]" allUniqueName="[Table2].[اجمالي الربح].[All]" dimensionUniqueName="[Table2]" displayFolder="" count="0" memberValueDatatype="5" unbalanced="0"/>
    <cacheHierarchy uniqueName="[Table1].[تاريخ بداية التقديم (Month Index)]" caption="تاريخ بداية التقديم (Month Index)" attribute="1" defaultMemberUniqueName="[Table1].[تاريخ بداية التقديم (Month Index)].[All]" allUniqueName="[Table1].[تاريخ بداية التقديم (Month Index)].[All]" dimensionUniqueName="[Table1]" displayFolder="" count="0" memberValueDatatype="20"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تاريخ بداية التقديم]" caption="Count of تاريخ بداية التقديم" measure="1" displayFolder="" measureGroup="Table1" count="0" hidden="1">
      <extLst>
        <ext xmlns:x15="http://schemas.microsoft.com/office/spreadsheetml/2010/11/main" uri="{B97F6D7D-B522-45F9-BDA1-12C45D357490}">
          <x15:cacheHierarchy aggregatedColumn="5"/>
        </ext>
      </extLst>
    </cacheHierarchy>
    <cacheHierarchy uniqueName="[Measures].[Count of اسم المشروع]" caption="Count of اسم المشروع" measure="1" displayFolder="" measureGroup="Table1" count="0" hidden="1">
      <extLst>
        <ext xmlns:x15="http://schemas.microsoft.com/office/spreadsheetml/2010/11/main" uri="{B97F6D7D-B522-45F9-BDA1-12C45D357490}">
          <x15:cacheHierarchy aggregatedColumn="0"/>
        </ext>
      </extLst>
    </cacheHierarchy>
    <cacheHierarchy uniqueName="[Measures].[Count of الجهة الحكومية]" caption="Count of الجهة الحكومية" measure="1" displayFolder="" measureGroup="Table2" count="0" hidden="1">
      <extLst>
        <ext xmlns:x15="http://schemas.microsoft.com/office/spreadsheetml/2010/11/main" uri="{B97F6D7D-B522-45F9-BDA1-12C45D357490}">
          <x15:cacheHierarchy aggregatedColumn="18"/>
        </ext>
      </extLst>
    </cacheHierarchy>
    <cacheHierarchy uniqueName="[Measures].[Distinct Count of الجهة الحكومية]" caption="Distinct Count of الجهة الحكومية" measure="1" displayFolder="" measureGroup="Table2" count="0" hidden="1">
      <extLst>
        <ext xmlns:x15="http://schemas.microsoft.com/office/spreadsheetml/2010/11/main" uri="{B97F6D7D-B522-45F9-BDA1-12C45D357490}">
          <x15:cacheHierarchy aggregatedColumn="18"/>
        </ext>
      </extLst>
    </cacheHierarchy>
    <cacheHierarchy uniqueName="[Measures].[Sum of قيمة المشروع]" caption="Sum of قيمة المشروع" measure="1" displayFolder="" measureGroup="Table1" count="0" hidden="1">
      <extLst>
        <ext xmlns:x15="http://schemas.microsoft.com/office/spreadsheetml/2010/11/main" uri="{B97F6D7D-B522-45F9-BDA1-12C45D357490}">
          <x15:cacheHierarchy aggregatedColumn="8"/>
        </ext>
      </extLst>
    </cacheHierarchy>
    <cacheHierarchy uniqueName="[Measures].[Sum of نسبة الربحية المتوقعة]" caption="Sum of نسبة الربحية المتوقعة" measure="1" displayFolder="" measureGroup="Table1" count="0" hidden="1">
      <extLst>
        <ext xmlns:x15="http://schemas.microsoft.com/office/spreadsheetml/2010/11/main" uri="{B97F6D7D-B522-45F9-BDA1-12C45D357490}">
          <x15:cacheHierarchy aggregatedColumn="11"/>
        </ext>
      </extLst>
    </cacheHierarchy>
    <cacheHierarchy uniqueName="[Measures].[Sum of الكمية]" caption="Sum of الكمية" measure="1" displayFolder="" measureGroup="Table2" count="0" hidden="1">
      <extLst>
        <ext xmlns:x15="http://schemas.microsoft.com/office/spreadsheetml/2010/11/main" uri="{B97F6D7D-B522-45F9-BDA1-12C45D357490}">
          <x15:cacheHierarchy aggregatedColumn="28"/>
        </ext>
      </extLst>
    </cacheHierarchy>
    <cacheHierarchy uniqueName="[Measures].[Sum of اجمالي بدون ضريبة]" caption="Sum of اجمالي بدون ضريبة" measure="1" displayFolder="" measureGroup="Table2" count="0" hidden="1">
      <extLst>
        <ext xmlns:x15="http://schemas.microsoft.com/office/spreadsheetml/2010/11/main" uri="{B97F6D7D-B522-45F9-BDA1-12C45D357490}">
          <x15:cacheHierarchy aggregatedColumn="29"/>
        </ext>
      </extLst>
    </cacheHierarchy>
    <cacheHierarchy uniqueName="[Measures].[Sum of ضريبة]" caption="Sum of ضريبة" measure="1" displayFolder="" measureGroup="Table2" count="0" hidden="1">
      <extLst>
        <ext xmlns:x15="http://schemas.microsoft.com/office/spreadsheetml/2010/11/main" uri="{B97F6D7D-B522-45F9-BDA1-12C45D357490}">
          <x15:cacheHierarchy aggregatedColumn="30"/>
        </ext>
      </extLst>
    </cacheHierarchy>
    <cacheHierarchy uniqueName="[Measures].[Sum of الإجمالي مع الضريبة]" caption="Sum of الإجمالي مع الضريبة" measure="1" displayFolder="" measureGroup="Table2" count="0" hidden="1">
      <extLst>
        <ext xmlns:x15="http://schemas.microsoft.com/office/spreadsheetml/2010/11/main" uri="{B97F6D7D-B522-45F9-BDA1-12C45D357490}">
          <x15:cacheHierarchy aggregatedColumn="31"/>
        </ext>
      </extLst>
    </cacheHierarchy>
    <cacheHierarchy uniqueName="[Measures].[Sum of اجمالي الربح]" caption="Sum of اجمالي الربح" measure="1" displayFolder="" measureGroup="Table2" count="0" hidden="1">
      <extLst>
        <ext xmlns:x15="http://schemas.microsoft.com/office/spreadsheetml/2010/11/main" uri="{B97F6D7D-B522-45F9-BDA1-12C45D357490}">
          <x15:cacheHierarchy aggregatedColumn="32"/>
        </ext>
      </extLst>
    </cacheHierarchy>
    <cacheHierarchy uniqueName="[Measures].[Sum of تكلفة الحبة اللواحدة]" caption="Sum of تكلفة الحبة اللواحدة" measure="1" displayFolder="" measureGroup="Table2" count="0" hidden="1">
      <extLst>
        <ext xmlns:x15="http://schemas.microsoft.com/office/spreadsheetml/2010/11/main" uri="{B97F6D7D-B522-45F9-BDA1-12C45D357490}">
          <x15:cacheHierarchy aggregatedColumn="21"/>
        </ext>
      </extLst>
    </cacheHierarchy>
    <cacheHierarchy uniqueName="[Measures].[Sum of التكاليف  التشغيلية 20%]" caption="Sum of التكاليف  التشغيلية 20%" measure="1" displayFolder="" measureGroup="Table2" count="0" hidden="1"/>
    <cacheHierarchy uniqueName="[Measures].[Sum of المخاطرة 10% ( تحسب تلقائيا )]" caption="Sum of المخاطرة 10% ( تحسب تلقائيا )" measure="1" displayFolder="" measureGroup="Table2" count="0" hidden="1">
      <extLst>
        <ext xmlns:x15="http://schemas.microsoft.com/office/spreadsheetml/2010/11/main" uri="{B97F6D7D-B522-45F9-BDA1-12C45D357490}">
          <x15:cacheHierarchy aggregatedColumn="24"/>
        </ext>
      </extLst>
    </cacheHierarchy>
    <cacheHierarchy uniqueName="[Measures].[Sum of إجمالي التكاليف]" caption="Sum of إجمالي التكاليف" measure="1" displayFolder="" measureGroup="Table2" count="0" hidden="1"/>
    <cacheHierarchy uniqueName="[Measures].[Sum of ضريبة المنتج الواحد]" caption="Sum of ضريبة المنتج الواحد" measure="1" displayFolder="" measureGroup="Table2" count="0" hidden="1">
      <extLst>
        <ext xmlns:x15="http://schemas.microsoft.com/office/spreadsheetml/2010/11/main" uri="{B97F6D7D-B522-45F9-BDA1-12C45D357490}">
          <x15:cacheHierarchy aggregatedColumn="26"/>
        </ext>
      </extLst>
    </cacheHierarchy>
    <cacheHierarchy uniqueName="[Measures].[Sum of الإجمالي للبيع]" caption="Sum of الإجمالي للبيع" measure="1" displayFolder="" measureGroup="Table2" count="0" hidden="1">
      <extLst>
        <ext xmlns:x15="http://schemas.microsoft.com/office/spreadsheetml/2010/11/main" uri="{B97F6D7D-B522-45F9-BDA1-12C45D357490}">
          <x15:cacheHierarchy aggregatedColumn="27"/>
        </ext>
      </extLst>
    </cacheHierarchy>
    <cacheHierarchy uniqueName="[Measures].[Distinct Count of اسم المشروع]" caption="Distinct Count of اسم المشروع" measure="1" displayFolder="" measureGroup="Table1" count="0" hidden="1">
      <extLst>
        <ext xmlns:x15="http://schemas.microsoft.com/office/spreadsheetml/2010/11/main" uri="{B97F6D7D-B522-45F9-BDA1-12C45D357490}">
          <x15:cacheHierarchy aggregatedColumn="0"/>
        </ext>
      </extLst>
    </cacheHierarchy>
    <cacheHierarchy uniqueName="[Measures].[Count of حالة المشروع]" caption="Count of حالة المشروع" measure="1" displayFolder="" measureGroup="Table1" count="0" hidden="1">
      <extLst>
        <ext xmlns:x15="http://schemas.microsoft.com/office/spreadsheetml/2010/11/main" uri="{B97F6D7D-B522-45F9-BDA1-12C45D357490}">
          <x15:cacheHierarchy aggregatedColumn="9"/>
        </ext>
      </extLst>
    </cacheHierarchy>
    <cacheHierarchy uniqueName="[Measures].[Sum of قيمة الكراسة]" caption="Sum of قيمة الكراسة" measure="1" displayFolder="" measureGroup="Table1"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776908479"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x v="0"/>
    <x v="0"/>
    <x v="0"/>
    <n v="3423565232"/>
    <s v="تغطية الحفل وتجهيز المكان"/>
    <x v="0"/>
    <d v="2024-01-11T00:00:00"/>
    <n v="500"/>
    <n v="15000"/>
    <s v="مقبول"/>
    <n v="-485.20999999999913"/>
    <n v="0.33"/>
    <n v="4950"/>
    <n v="500"/>
  </r>
  <r>
    <x v="1"/>
    <x v="1"/>
    <x v="1"/>
    <n v="3423565232"/>
    <s v="التجعيز"/>
    <x v="1"/>
    <d v="2024-11-25T00:00:00"/>
    <n v="500"/>
    <n v="15000"/>
    <s v="مرفوض"/>
    <n v="12667.8"/>
    <n v="0.28999999999999998"/>
    <n v="4350"/>
    <n v="500"/>
  </r>
  <r>
    <x v="2"/>
    <x v="1"/>
    <x v="2"/>
    <n v="3423565232"/>
    <s v="تغطية الحفل وتجهيز المكان"/>
    <x v="2"/>
    <d v="2024-12-19T00:00:00"/>
    <n v="600"/>
    <n v="15000"/>
    <s v="مقبول"/>
    <n v="12467.47"/>
    <n v="0.37"/>
    <n v="5550"/>
    <n v="500"/>
  </r>
  <r>
    <x v="3"/>
    <x v="1"/>
    <x v="0"/>
    <n v="3423565232"/>
    <s v="تغطية الحفل وتجهيز المكان"/>
    <x v="3"/>
    <d v="2024-10-20T00:00:00"/>
    <n v="1500"/>
    <n v="15000"/>
    <s v="مقبول"/>
    <n v="12196.875"/>
    <n v="0.19"/>
    <n v="2850"/>
    <n v="500"/>
  </r>
  <r>
    <x v="4"/>
    <x v="1"/>
    <x v="1"/>
    <n v="3423565232"/>
    <s v="التجعيز"/>
    <x v="4"/>
    <d v="2024-06-01T00:00:00"/>
    <n v="1200"/>
    <n v="5000000"/>
    <s v="مقبول"/>
    <n v="4996890.4000000004"/>
    <n v="0.35"/>
    <n v="1750000"/>
    <n v="500"/>
  </r>
  <r>
    <x v="5"/>
    <x v="1"/>
    <x v="1"/>
    <n v="3423565232"/>
    <s v="تغطية الحفل وتجهيز المكان"/>
    <x v="5"/>
    <d v="2024-01-20T00:00:00"/>
    <n v="500"/>
    <n v="600000"/>
    <s v="مرفوض"/>
    <n v="596721.46499999997"/>
    <n v="0.28799999999999998"/>
    <n v="172800"/>
    <n v="500"/>
  </r>
  <r>
    <x v="6"/>
    <x v="1"/>
    <x v="2"/>
    <n v="3423565232"/>
    <s v="تغطية الحفل وتجهيز المكان"/>
    <x v="6"/>
    <d v="2024-10-25T00:00:00"/>
    <n v="650"/>
    <n v="500"/>
    <s v="مقبول"/>
    <n v="-4074.7"/>
    <n v="0.28199999999999997"/>
    <n v="141"/>
    <n v="500"/>
  </r>
  <r>
    <x v="7"/>
    <x v="1"/>
    <x v="0"/>
    <n v="3423565232"/>
    <s v="التجعيز"/>
    <x v="2"/>
    <d v="2024-12-29T00:00:00"/>
    <n v="2000"/>
    <n v="25000"/>
    <s v="مرفوض"/>
    <n v="19603.05"/>
    <n v="0.27600000000000002"/>
    <n v="6900.0000000000009"/>
    <n v="500"/>
  </r>
  <r>
    <x v="8"/>
    <x v="1"/>
    <x v="1"/>
    <n v="3423565232"/>
    <s v="تغطية الحفل وتجهيز المكان"/>
    <x v="7"/>
    <d v="2024-02-05T00:00:00"/>
    <n v="900"/>
    <n v="27000"/>
    <s v="مقبول"/>
    <n v="21618"/>
    <n v="0.27"/>
    <n v="7290.0000000000009"/>
    <n v="500"/>
  </r>
  <r>
    <x v="9"/>
    <x v="1"/>
    <x v="1"/>
    <n v="3423565232"/>
    <s v="تغطية الحفل وتجهيز المكان"/>
    <x v="8"/>
    <d v="2024-01-26T00:00:00"/>
    <n v="700"/>
    <n v="13000"/>
    <s v="مقبول"/>
    <n v="9232.6"/>
    <n v="0.26400000000000001"/>
    <n v="3432"/>
    <n v="500"/>
  </r>
  <r>
    <x v="10"/>
    <x v="1"/>
    <x v="2"/>
    <n v="3423565232"/>
    <s v="التجعيز"/>
    <x v="8"/>
    <d v="2024-01-23T00:00:00"/>
    <n v="825"/>
    <n v="10000"/>
    <s v="مقبول"/>
    <n v="4737.6000000000004"/>
    <n v="0.25800000000000001"/>
    <n v="2580"/>
    <n v="500"/>
  </r>
  <r>
    <x v="11"/>
    <x v="2"/>
    <x v="0"/>
    <n v="3423565232"/>
    <s v="تغطية الحفل وتجهيز المكان"/>
    <x v="9"/>
    <d v="2024-08-25T00:00:00"/>
    <n v="730"/>
    <n v="10000"/>
    <s v="مقبول"/>
    <n v="5358.0249999999996"/>
    <n v="0.252"/>
    <n v="2520"/>
    <n v="500"/>
  </r>
  <r>
    <x v="12"/>
    <x v="0"/>
    <x v="1"/>
    <n v="3423565232"/>
    <s v="تغطية الحفل وتجهيز المكان"/>
    <x v="10"/>
    <d v="2024-01-28T00:00:00"/>
    <n v="635"/>
    <n v="10000"/>
    <s v="مقبول"/>
    <n v="5012.6800000000012"/>
    <n v="0.246"/>
    <n v="2460"/>
    <n v="500"/>
  </r>
  <r>
    <x v="13"/>
    <x v="0"/>
    <x v="1"/>
    <n v="3423565232"/>
    <s v="التجعيز"/>
    <x v="11"/>
    <d v="2024-10-02T00:00:00"/>
    <n v="539.99999999999898"/>
    <n v="12000"/>
    <s v="مقبول"/>
    <n v="7515"/>
    <n v="0.24"/>
    <n v="2880"/>
    <n v="5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x v="0"/>
    <s v="تقرير"/>
    <s v="مطبوع"/>
    <n v="134"/>
    <n v="1608"/>
    <n v="26.8"/>
    <n v="13.4"/>
    <n v="174.2"/>
    <n v="26.13"/>
    <n v="200.32999999999998"/>
    <n v="12"/>
    <n v="2090.3999999999996"/>
    <n v="313.55999999999995"/>
    <n v="2403.9599999999996"/>
    <n v="1890.0699999999997"/>
  </r>
  <r>
    <x v="0"/>
    <x v="1"/>
    <s v="فيديو"/>
    <s v="فلم"/>
    <n v="350"/>
    <n v="8750"/>
    <n v="70"/>
    <n v="35"/>
    <n v="455"/>
    <n v="68.25"/>
    <n v="523.25"/>
    <n v="25"/>
    <n v="11375"/>
    <n v="1706.25"/>
    <n v="13081.25"/>
    <n v="10851.75"/>
  </r>
  <r>
    <x v="1"/>
    <x v="1"/>
    <s v="فيديو"/>
    <s v="فلم"/>
    <n v="120"/>
    <n v="1560"/>
    <n v="24"/>
    <n v="12"/>
    <n v="156"/>
    <n v="23.4"/>
    <n v="179.4"/>
    <n v="13"/>
    <n v="2028"/>
    <n v="304.2"/>
    <n v="2332.1999999999998"/>
    <n v="1848.6"/>
  </r>
  <r>
    <x v="2"/>
    <x v="1"/>
    <s v="فيديو"/>
    <s v="فلم"/>
    <n v="121"/>
    <n v="1694"/>
    <n v="24.200000000000003"/>
    <n v="12.100000000000001"/>
    <n v="157.30000000000001"/>
    <n v="23.595000000000002"/>
    <n v="180.89500000000001"/>
    <n v="14"/>
    <n v="2202.2000000000003"/>
    <n v="330.33000000000004"/>
    <n v="2532.5300000000002"/>
    <n v="2021.3050000000003"/>
  </r>
  <r>
    <x v="3"/>
    <x v="1"/>
    <s v="تقرير"/>
    <s v="مطبوع"/>
    <n v="125"/>
    <n v="1875"/>
    <n v="25"/>
    <n v="12.5"/>
    <n v="162.5"/>
    <n v="24.375"/>
    <n v="186.875"/>
    <n v="15"/>
    <n v="2437.5"/>
    <n v="365.625"/>
    <n v="2803.125"/>
    <n v="2250.625"/>
  </r>
  <r>
    <x v="4"/>
    <x v="1"/>
    <s v="فيديو"/>
    <s v="فلم"/>
    <n v="130"/>
    <n v="2080"/>
    <n v="26"/>
    <n v="13"/>
    <n v="169"/>
    <n v="25.349999999999998"/>
    <n v="194.35"/>
    <n v="16"/>
    <n v="2704"/>
    <n v="405.59999999999997"/>
    <n v="3109.6"/>
    <n v="2509.65"/>
  </r>
  <r>
    <x v="5"/>
    <x v="1"/>
    <s v="فيديو"/>
    <s v="فلم"/>
    <n v="129"/>
    <n v="2193"/>
    <n v="25.8"/>
    <n v="12.9"/>
    <n v="167.7"/>
    <n v="25.154999999999998"/>
    <n v="192.85499999999999"/>
    <n v="17"/>
    <n v="2850.8999999999996"/>
    <n v="427.63499999999993"/>
    <n v="3278.5349999999994"/>
    <n v="2658.0449999999996"/>
  </r>
  <r>
    <x v="6"/>
    <x v="1"/>
    <s v="تقرير"/>
    <s v="مطبوع"/>
    <n v="170"/>
    <n v="3060"/>
    <n v="34"/>
    <n v="17"/>
    <n v="221"/>
    <n v="33.15"/>
    <n v="254.15"/>
    <n v="18"/>
    <n v="3978"/>
    <n v="596.69999999999993"/>
    <n v="4574.7"/>
    <n v="3723.85"/>
  </r>
  <r>
    <x v="7"/>
    <x v="1"/>
    <s v="فيديو"/>
    <s v="فلم"/>
    <n v="190"/>
    <n v="3610"/>
    <n v="38"/>
    <n v="19"/>
    <n v="247"/>
    <n v="37.049999999999997"/>
    <n v="284.05"/>
    <n v="19"/>
    <n v="4693"/>
    <n v="703.94999999999993"/>
    <n v="5396.95"/>
    <n v="4408.95"/>
  </r>
  <r>
    <x v="8"/>
    <x v="1"/>
    <s v="فيديو"/>
    <s v="فلم"/>
    <n v="180"/>
    <n v="3600"/>
    <n v="36"/>
    <n v="18"/>
    <n v="234"/>
    <n v="35.1"/>
    <n v="269.10000000000002"/>
    <n v="20"/>
    <n v="4680"/>
    <n v="702"/>
    <n v="5382"/>
    <n v="4410.8999999999996"/>
  </r>
  <r>
    <x v="9"/>
    <x v="1"/>
    <s v="تقرير"/>
    <s v="مطبوع"/>
    <n v="120"/>
    <n v="2520"/>
    <n v="24"/>
    <n v="12"/>
    <n v="156"/>
    <n v="23.4"/>
    <n v="179.4"/>
    <n v="21"/>
    <n v="3276"/>
    <n v="491.4"/>
    <n v="3767.4"/>
    <n v="3096.6"/>
  </r>
  <r>
    <x v="10"/>
    <x v="1"/>
    <s v="فيديو"/>
    <s v="فلم"/>
    <n v="160"/>
    <n v="3520"/>
    <n v="32"/>
    <n v="16"/>
    <n v="208"/>
    <n v="31.2"/>
    <n v="239.2"/>
    <n v="22"/>
    <n v="4576"/>
    <n v="686.4"/>
    <n v="5262.4"/>
    <n v="4336.8"/>
  </r>
  <r>
    <x v="11"/>
    <x v="2"/>
    <s v="فيديو"/>
    <s v="فلم"/>
    <n v="135"/>
    <n v="3105"/>
    <n v="27"/>
    <n v="13.5"/>
    <n v="175.5"/>
    <n v="26.324999999999999"/>
    <n v="201.82499999999999"/>
    <n v="23"/>
    <n v="4036.5"/>
    <n v="605.47500000000002"/>
    <n v="4641.9750000000004"/>
    <n v="3834.6750000000002"/>
  </r>
  <r>
    <x v="12"/>
    <x v="0"/>
    <s v="تقرير"/>
    <s v="مطبوع"/>
    <n v="139"/>
    <n v="3336"/>
    <n v="27.8"/>
    <n v="13.9"/>
    <n v="180.7"/>
    <n v="27.104999999999997"/>
    <n v="207.80499999999998"/>
    <n v="24"/>
    <n v="4336.7999999999993"/>
    <n v="650.51999999999987"/>
    <n v="4987.3199999999988"/>
    <n v="4128.994999999999"/>
  </r>
  <r>
    <x v="13"/>
    <x v="0"/>
    <s v="فيديو"/>
    <s v="فلم"/>
    <n v="120"/>
    <n v="3000"/>
    <n v="24"/>
    <n v="12"/>
    <n v="156"/>
    <n v="23.4"/>
    <n v="179.4"/>
    <n v="25"/>
    <n v="3900"/>
    <n v="585"/>
    <n v="4485"/>
    <n v="372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7F29EA-B9A5-45D9-BB79-1BFD3326C240}" name="PivotTable12"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3:B10" firstHeaderRow="1" firstDataRow="1" firstDataCol="1"/>
  <pivotFields count="3">
    <pivotField axis="axisRow" allDrilled="1" subtotalTop="0" showAll="0" dataSourceSort="1" defaultSubtotal="0" defaultAttributeDrillState="1">
      <items count="6">
        <item s="1" x="0"/>
        <item s="1" x="1"/>
        <item s="1" x="2"/>
        <item s="1" x="3"/>
        <item s="1" x="4"/>
        <item s="1"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Distinct Count of اسم المشروع2" fld="1" subtotal="count" showDataAs="percentDiff" baseField="0" baseItem="1048828" numFmtId="10">
      <extLst>
        <ext xmlns:x15="http://schemas.microsoft.com/office/spreadsheetml/2010/11/main" uri="{FABC7310-3BB5-11E1-824E-6D434824019B}">
          <x15:dataField isCountDistinct="1"/>
        </ext>
      </extLst>
    </dataField>
  </dataFields>
  <chartFormats count="4">
    <chartFormat chart="0" format="1"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18" series="1">
      <pivotArea type="data" outline="0" fieldPosition="0">
        <references count="1">
          <reference field="4294967294" count="1" selected="0">
            <x v="0"/>
          </reference>
        </references>
      </pivotArea>
    </chartFormat>
  </chartFormats>
  <pivotHierarchies count="57">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Row="0" dragToCol="0" dragToPage="0" dragToData="1"/>
    <pivotHierarchy dragToData="1"/>
    <pivotHierarchy dragToData="1"/>
    <pivotHierarchy dragToData="1" caption="Distinct Count of اسم المشروع2"/>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تحليل مالي استاذ ياسر.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526A1C-FD11-4AA2-9D95-BB545F367B6C}" name="PivotTable8"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3:E4"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الكمية" fld="0" baseField="0" baseItem="1"/>
    <dataField name="إجمالي البيع بدون ضريبة" fld="1" baseField="0" baseItem="1"/>
    <dataField name="الضريبة" fld="2" baseField="0" baseItem="2"/>
    <dataField name="إجمالي البيع مع الضريبة" fld="3" baseField="0" baseItem="3"/>
    <dataField name="إجمالي الربح" fld="4"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3" format="10"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1"/>
          </reference>
        </references>
      </pivotArea>
    </chartFormat>
    <chartFormat chart="3" format="12" series="1">
      <pivotArea type="data" outline="0" fieldPosition="0">
        <references count="1">
          <reference field="4294967294" count="1" selected="0">
            <x v="2"/>
          </reference>
        </references>
      </pivotArea>
    </chartFormat>
    <chartFormat chart="3" format="13" series="1">
      <pivotArea type="data" outline="0" fieldPosition="0">
        <references count="1">
          <reference field="4294967294" count="1" selected="0">
            <x v="3"/>
          </reference>
        </references>
      </pivotArea>
    </chartFormat>
    <chartFormat chart="3" format="14" series="1">
      <pivotArea type="data" outline="0" fieldPosition="0">
        <references count="1">
          <reference field="4294967294" count="1" selected="0">
            <x v="4"/>
          </reference>
        </references>
      </pivotArea>
    </chartFormat>
  </chartFormats>
  <pivotHierarchies count="57">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6" level="1">
        <member name="[Table1].[تاريخ بداية التقديم (Month)].&amp;[Aug]"/>
        <member name="[Table1].[تاريخ بداية التقديم (Month)].&amp;[Dec]"/>
        <member name="[Table1].[تاريخ بداية التقديم (Month)].&amp;[Jan]"/>
        <member name="[Table1].[تاريخ بداية التقديم (Month)].&amp;[May]"/>
        <member name="[Table1].[تاريخ بداية التقديم (Month)].&amp;[Oct]"/>
        <member name="[Table1].[تاريخ بداية التقديم (Month)].&amp;[Se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الكمية"/>
    <pivotHierarchy dragToData="1" caption="إجمالي البيع بدون ضريبة"/>
    <pivotHierarchy dragToData="1" caption="الضريبة"/>
    <pivotHierarchy dragToData="1" caption="إجمالي البيع مع الضريبة"/>
    <pivotHierarchy dragToData="1" caption="إجمالي الربح"/>
    <pivotHierarchy dragToData="1"/>
    <pivotHierarchy dragToRow="0" dragToCol="0" dragToPage="0" dragToData="1"/>
    <pivotHierarchy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تحليل مالي استاذ ياسر.xlsx!Table2">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ED4165-68C8-4373-9D6B-0A2D69E2E1B6}" name="PivotTable9"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A3:D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تكلفة الحبة الواحدة" fld="0" baseField="0" baseItem="1"/>
    <dataField name="المخاطرة 10%" fld="1" baseField="0" baseItem="1"/>
    <dataField name="ضريبة المنتج الواحد" fld="2" baseField="0" baseItem="4"/>
    <dataField name="إجمالي التكاليف ( بعد الضرائب )" fld="3" baseField="0" baseItem="5"/>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2"/>
          </reference>
        </references>
      </pivotArea>
    </chartFormat>
    <chartFormat chart="0" format="5" series="1">
      <pivotArea type="data" outline="0" fieldPosition="0">
        <references count="1">
          <reference field="4294967294" count="1" selected="0">
            <x v="3"/>
          </reference>
        </references>
      </pivotArea>
    </chartFormat>
    <chartFormat chart="3" format="12" series="1">
      <pivotArea type="data" outline="0" fieldPosition="0">
        <references count="1">
          <reference field="4294967294" count="1" selected="0">
            <x v="0"/>
          </reference>
        </references>
      </pivotArea>
    </chartFormat>
    <chartFormat chart="3" format="13" series="1">
      <pivotArea type="data" outline="0" fieldPosition="0">
        <references count="1">
          <reference field="4294967294" count="1" selected="0">
            <x v="1"/>
          </reference>
        </references>
      </pivotArea>
    </chartFormat>
    <chartFormat chart="3" format="16" series="1">
      <pivotArea type="data" outline="0" fieldPosition="0">
        <references count="1">
          <reference field="4294967294" count="1" selected="0">
            <x v="2"/>
          </reference>
        </references>
      </pivotArea>
    </chartFormat>
    <chartFormat chart="3" format="17" series="1">
      <pivotArea type="data" outline="0" fieldPosition="0">
        <references count="1">
          <reference field="4294967294" count="1" selected="0">
            <x v="3"/>
          </reference>
        </references>
      </pivotArea>
    </chartFormat>
  </chartFormats>
  <pivotHierarchies count="57">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6" level="1">
        <member name="[Table1].[تاريخ بداية التقديم (Month)].&amp;[Aug]"/>
        <member name="[Table1].[تاريخ بداية التقديم (Month)].&amp;[Dec]"/>
        <member name="[Table1].[تاريخ بداية التقديم (Month)].&amp;[Jan]"/>
        <member name="[Table1].[تاريخ بداية التقديم (Month)].&amp;[May]"/>
        <member name="[Table1].[تاريخ بداية التقديم (Month)].&amp;[Oct]"/>
        <member name="[Table1].[تاريخ بداية التقديم (Month)].&amp;[Se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تكلفة الحبة الواحدة"/>
    <pivotHierarchy dragToRow="0" dragToCol="0" dragToPage="0" dragToData="1"/>
    <pivotHierarchy dragToData="1" caption="المخاطرة 10%"/>
    <pivotHierarchy dragToRow="0" dragToCol="0" dragToPage="0" dragToData="1"/>
    <pivotHierarchy dragToData="1" caption="ضريبة المنتج الواحد"/>
    <pivotHierarchy dragToData="1" caption="إجمالي التكاليف ( بعد الضرائب )"/>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تحليل مالي استاذ ياسر.xlsx!Table2">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CFFF85C-A8FA-4BCC-BDB0-043C66D667E9}" name="PivotTable3" cacheId="6" applyNumberFormats="0" applyBorderFormats="0" applyFontFormats="0" applyPatternFormats="0" applyAlignmentFormats="0" applyWidthHeightFormats="1" dataCaption="Values" updatedVersion="8" minRefreshableVersion="3" useAutoFormatting="1" subtotalHiddenItems="1" itemPrintTitles="1" createdVersion="8" indent="0" compact="0" outline="1" outlineData="1" compactData="0" multipleFieldFilters="0" chartFormat="9">
  <location ref="I3:J7" firstHeaderRow="1" firstDataRow="1" firstDataCol="1"/>
  <pivotFields count="3">
    <pivotField axis="axisRow" compact="0" allDrilled="1" showAll="0" defaultSubtotal="0" defaultAttributeDrillState="1">
      <items count="3">
        <item x="0"/>
        <item x="1"/>
        <item x="2"/>
      </items>
    </pivotField>
    <pivotField dataField="1" compact="0" showAll="0" defaultSubtotal="0"/>
    <pivotField compact="0" allDrilled="1" subtotalTop="0" showAll="0" dataSourceSort="1" defaultSubtotal="0" defaultAttributeDrillState="1"/>
  </pivotFields>
  <rowFields count="1">
    <field x="0"/>
  </rowFields>
  <rowItems count="4">
    <i>
      <x/>
    </i>
    <i>
      <x v="1"/>
    </i>
    <i>
      <x v="2"/>
    </i>
    <i t="grand">
      <x/>
    </i>
  </rowItems>
  <colItems count="1">
    <i/>
  </colItems>
  <dataFields count="1">
    <dataField name="Count of اسم المشروع" fld="1" subtotal="count" baseField="0" baseItem="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 chart="3" format="8">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0" format="6">
      <pivotArea type="data" outline="0" fieldPosition="0">
        <references count="2">
          <reference field="4294967294" count="1" selected="0">
            <x v="0"/>
          </reference>
          <reference field="0" count="1" selected="0">
            <x v="2"/>
          </reference>
        </references>
      </pivotArea>
    </chartFormat>
  </chartFormats>
  <pivotHierarchies count="57">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6" level="1">
        <member name="[Table1].[تاريخ بداية التقديم (Month)].&amp;[Aug]"/>
        <member name="[Table1].[تاريخ بداية التقديم (Month)].&amp;[Dec]"/>
        <member name="[Table1].[تاريخ بداية التقديم (Month)].&amp;[Jan]"/>
        <member name="[Table1].[تاريخ بداية التقديم (Month)].&amp;[May]"/>
        <member name="[Table1].[تاريخ بداية التقديم (Month)].&amp;[Oct]"/>
        <member name="[Table1].[تاريخ بداية التقديم (Month)].&amp;[Se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تحليل مالي استاذ ياسر.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04416D1-37E7-48BD-B7B9-5F6849545FAA}" name="PivotTable2" cacheId="5" applyNumberFormats="0" applyBorderFormats="0" applyFontFormats="0" applyPatternFormats="0" applyAlignmentFormats="0" applyWidthHeightFormats="1" dataCaption="Values" updatedVersion="8" minRefreshableVersion="3" useAutoFormatting="1" subtotalHiddenItems="1" itemPrintTitles="1" createdVersion="8" indent="0" compact="0" outline="1" outlineData="1" compactData="0" multipleFieldFilters="0" chartFormat="9">
  <location ref="A3:B7" firstHeaderRow="1" firstDataRow="1" firstDataCol="1"/>
  <pivotFields count="4">
    <pivotField axis="axisRow" compact="0" allDrilled="1" showAll="0" dataSourceSort="1" defaultSubtotal="0" defaultAttributeDrillState="1">
      <items count="3">
        <item x="0"/>
        <item x="1"/>
        <item x="2"/>
      </items>
    </pivotField>
    <pivotField dataField="1" compact="0" showAll="0" defaultSubtotal="0"/>
    <pivotField compact="0" allDrilled="1" subtotalTop="0" showAll="0" dataSourceSort="1" defaultSubtotal="0" defaultAttributeDrillState="1"/>
    <pivotField compact="0" allDrilled="1" subtotalTop="0" showAll="0" dataSourceSort="1" defaultSubtotal="0" defaultAttributeDrillState="1"/>
  </pivotFields>
  <rowFields count="1">
    <field x="0"/>
  </rowFields>
  <rowItems count="4">
    <i>
      <x/>
    </i>
    <i>
      <x v="1"/>
    </i>
    <i>
      <x v="2"/>
    </i>
    <i t="grand">
      <x/>
    </i>
  </rowItems>
  <colItems count="1">
    <i/>
  </colItems>
  <dataFields count="1">
    <dataField name="Count of اسم المشروع"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7">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6" level="1">
        <member name="[Table1].[تاريخ بداية التقديم (Month)].&amp;[Aug]"/>
        <member name="[Table1].[تاريخ بداية التقديم (Month)].&amp;[Dec]"/>
        <member name="[Table1].[تاريخ بداية التقديم (Month)].&amp;[Jan]"/>
        <member name="[Table1].[تاريخ بداية التقديم (Month)].&amp;[May]"/>
        <member name="[Table1].[تاريخ بداية التقديم (Month)].&amp;[Oct]"/>
        <member name="[Table1].[تاريخ بداية التقديم (Month)].&amp;[Se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تحليل مالي استاذ ياسر.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8178673-F057-4952-96A4-DE3F4B84B732}" name="PivotTable4"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16:D1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الجهة الحكومية" fld="0" subtotal="count" baseField="0" baseItem="0">
      <extLst>
        <ext xmlns:x15="http://schemas.microsoft.com/office/spreadsheetml/2010/11/main" uri="{FABC7310-3BB5-11E1-824E-6D434824019B}">
          <x15:dataField isCountDistinct="1"/>
        </ext>
      </extLst>
    </dataField>
  </dataFields>
  <pivotHierarchies count="57">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6" level="1">
        <member name="[Table1].[تاريخ بداية التقديم (Month)].&amp;[Aug]"/>
        <member name="[Table1].[تاريخ بداية التقديم (Month)].&amp;[Dec]"/>
        <member name="[Table1].[تاريخ بداية التقديم (Month)].&amp;[Jan]"/>
        <member name="[Table1].[تاريخ بداية التقديم (Month)].&amp;[May]"/>
        <member name="[Table1].[تاريخ بداية التقديم (Month)].&amp;[Oct]"/>
        <member name="[Table1].[تاريخ بداية التقديم (Month)].&amp;[Se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الجهة الحكومية"/>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تحليل مالي استاذ ياسر.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1D99D22-E444-4485-AA4C-77D960A9B8C2}" name="PivotTable5" cacheId="8" applyNumberFormats="0" applyBorderFormats="0" applyFontFormats="0" applyPatternFormats="0" applyAlignmentFormats="0" applyWidthHeightFormats="1" dataCaption="Values" updatedVersion="8" minRefreshableVersion="3" useAutoFormatting="1" subtotalHiddenItems="1" itemPrintTitles="1" createdVersion="8" indent="0" compact="0" outline="1" outlineData="1" compactData="0" multipleFieldFilters="0">
  <location ref="A3:D17" firstHeaderRow="0" firstDataRow="1" firstDataCol="1"/>
  <pivotFields count="6">
    <pivotField axis="axisRow" compact="0" allDrilled="1" showAll="0" dataSourceSort="1" defaultSubtotal="0" defaultAttributeDrillState="1">
      <items count="13">
        <item x="0"/>
        <item x="1"/>
        <item x="2"/>
        <item x="3"/>
        <item x="4"/>
        <item x="5"/>
        <item x="6"/>
        <item x="7"/>
        <item x="8"/>
        <item x="9"/>
        <item x="10"/>
        <item x="11"/>
        <item x="12"/>
      </items>
    </pivotField>
    <pivotField dataField="1" compact="0" showAll="0" defaultSubtotal="0"/>
    <pivotField dataField="1" compact="0" showAll="0" defaultSubtotal="0"/>
    <pivotField dataField="1" compact="0" showAll="0" defaultSubtotal="0"/>
    <pivotField compact="0" allDrilled="1" subtotalTop="0" showAll="0" dataSourceSort="1" defaultSubtotal="0" defaultAttributeDrillState="1"/>
    <pivotField compact="0" allDrilled="1" subtotalTop="0" showAll="0" dataSourceSort="1" defaultSubtotal="0" defaultAttributeDrillState="1"/>
  </pivotFields>
  <rowFields count="1">
    <field x="0"/>
  </rowFields>
  <rowItems count="14">
    <i>
      <x/>
    </i>
    <i>
      <x v="1"/>
    </i>
    <i>
      <x v="2"/>
    </i>
    <i>
      <x v="3"/>
    </i>
    <i>
      <x v="4"/>
    </i>
    <i>
      <x v="5"/>
    </i>
    <i>
      <x v="6"/>
    </i>
    <i>
      <x v="7"/>
    </i>
    <i>
      <x v="8"/>
    </i>
    <i>
      <x v="9"/>
    </i>
    <i>
      <x v="10"/>
    </i>
    <i>
      <x v="11"/>
    </i>
    <i>
      <x v="12"/>
    </i>
    <i t="grand">
      <x/>
    </i>
  </rowItems>
  <colFields count="1">
    <field x="-2"/>
  </colFields>
  <colItems count="3">
    <i>
      <x/>
    </i>
    <i i="1">
      <x v="1"/>
    </i>
    <i i="2">
      <x v="2"/>
    </i>
  </colItems>
  <dataFields count="3">
    <dataField name="Sum of قيمة المشروع" fld="1" baseField="0" baseItem="0"/>
    <dataField name="Sum of نسبة الربحية المتوقعة" fld="2" baseField="0" baseItem="0"/>
    <dataField name="Count of اسم المشروع" fld="3" subtotal="count" baseField="0" baseItem="0"/>
  </dataFields>
  <pivotHierarchies count="57">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6" level="1">
        <member name="[Table1].[تاريخ بداية التقديم (Month)].&amp;[Aug]"/>
        <member name="[Table1].[تاريخ بداية التقديم (Month)].&amp;[Dec]"/>
        <member name="[Table1].[تاريخ بداية التقديم (Month)].&amp;[Jan]"/>
        <member name="[Table1].[تاريخ بداية التقديم (Month)].&amp;[May]"/>
        <member name="[Table1].[تاريخ بداية التقديم (Month)].&amp;[Oct]"/>
        <member name="[Table1].[تاريخ بداية التقديم (Month)].&amp;[Se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تحليل مالي استاذ ياسر.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E68D101-D910-47A3-A362-086CCDFB2B18}" name="PivotTable1"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R4:U7" firstHeaderRow="0" firstDataRow="1" firstDataCol="1"/>
  <pivotFields count="6">
    <pivotField axis="axisRow" allDrilled="1" subtotalTop="0" showAll="0" defaultSubtotal="0" defaultAttributeDrillState="1">
      <items count="2">
        <item x="1"/>
        <item x="0"/>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Fields count="1">
    <field x="-2"/>
  </colFields>
  <colItems count="3">
    <i>
      <x/>
    </i>
    <i i="1">
      <x v="1"/>
    </i>
    <i i="2">
      <x v="2"/>
    </i>
  </colItems>
  <dataFields count="3">
    <dataField name="Count of حالة المشروع" fld="1" subtotal="count" baseField="0" baseItem="0"/>
    <dataField name="Sum of قيمة الكراسة" fld="2" baseField="0" baseItem="0"/>
    <dataField name="Sum of قيمة المشروع" fld="3" baseField="0" baseItem="0"/>
  </dataFields>
  <pivotHierarchies count="57">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6" level="1">
        <member name="[Table1].[تاريخ بداية التقديم (Month)].&amp;[Aug]"/>
        <member name="[Table1].[تاريخ بداية التقديم (Month)].&amp;[Dec]"/>
        <member name="[Table1].[تاريخ بداية التقديم (Month)].&amp;[Jan]"/>
        <member name="[Table1].[تاريخ بداية التقديم (Month)].&amp;[May]"/>
        <member name="[Table1].[تاريخ بداية التقديم (Month)].&amp;[Oct]"/>
        <member name="[Table1].[تاريخ بداية التقديم (Month)].&amp;[Se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تحليل مالي استاذ ياسر.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066CDEC-AFDF-4BAA-9EF5-79B8BC0CDF24}" name="PivotTable1"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1:D9" firstHeaderRow="1" firstDataRow="2" firstDataCol="1"/>
  <pivotFields count="4">
    <pivotField axis="axisRow" allDrilled="1" subtotalTop="0" showAll="0" dataSourceSort="1" defaultSubtotal="0" defaultAttributeDrillState="1">
      <items count="6">
        <item s="1" x="0"/>
        <item s="1" x="1"/>
        <item s="1" x="2"/>
        <item s="1" x="3"/>
        <item s="1" x="4"/>
        <item s="1" x="5"/>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Fields count="1">
    <field x="1"/>
  </colFields>
  <colItems count="3">
    <i>
      <x/>
    </i>
    <i>
      <x v="1"/>
    </i>
    <i t="grand">
      <x/>
    </i>
  </colItems>
  <dataFields count="1">
    <dataField name="Count of اسم المشروع" fld="2" subtotal="count" baseField="0"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Hierarchies count="57">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تحليل مالي استاذ ياسر.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DEA32F6-04B6-4D3C-A495-4E2AC86B493B}"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outline="1" outlineData="1" compactData="0" multipleFieldFilters="0">
  <location ref="A1:C15" firstHeaderRow="0" firstDataRow="1" firstDataCol="1"/>
  <pivotFields count="18">
    <pivotField axis="axisRow" compact="0" showAll="0">
      <items count="15">
        <item x="0"/>
        <item x="1"/>
        <item x="2"/>
        <item x="3"/>
        <item x="4"/>
        <item x="5"/>
        <item x="6"/>
        <item x="7"/>
        <item x="8"/>
        <item x="9"/>
        <item x="10"/>
        <item x="11"/>
        <item x="12"/>
        <item x="13"/>
        <item t="default"/>
      </items>
    </pivotField>
    <pivotField compact="0" showAll="0"/>
    <pivotField compact="0" showAll="0"/>
    <pivotField compact="0" showAll="0"/>
    <pivotField compact="0" showAll="0"/>
    <pivotField compact="0" numFmtId="14" showAll="0">
      <items count="13">
        <item x="0"/>
        <item x="5"/>
        <item x="7"/>
        <item x="8"/>
        <item x="10"/>
        <item x="4"/>
        <item x="9"/>
        <item x="11"/>
        <item x="6"/>
        <item x="1"/>
        <item x="2"/>
        <item x="3"/>
        <item t="default"/>
      </items>
    </pivotField>
    <pivotField compact="0" numFmtId="14" showAll="0"/>
    <pivotField compact="0" showAll="0"/>
    <pivotField dataField="1" compact="0" showAll="0"/>
    <pivotField compact="0" showAll="0"/>
    <pivotField compact="0" showAll="0"/>
    <pivotField compact="0" showAll="0"/>
    <pivotField dataField="1" compact="0" showAll="0"/>
    <pivotField compact="0" showAll="0"/>
    <pivotField compact="0" showAll="0" defaultSubtotal="0"/>
    <pivotField compact="0" showAll="0" defaultSubtotal="0"/>
    <pivotField compact="0" showAll="0" defaultSubtotal="0">
      <items count="4">
        <item x="1"/>
        <item x="2"/>
        <item x="0"/>
        <item x="3"/>
      </items>
    </pivotField>
    <pivotField compact="0" dragToRow="0" dragToCol="0" dragToPage="0" showAll="0" defaultSubtotal="0"/>
  </pivotFields>
  <rowFields count="1">
    <field x="0"/>
  </rowFields>
  <rowItems count="14">
    <i>
      <x/>
    </i>
    <i>
      <x v="1"/>
    </i>
    <i>
      <x v="2"/>
    </i>
    <i>
      <x v="3"/>
    </i>
    <i>
      <x v="4"/>
    </i>
    <i>
      <x v="5"/>
    </i>
    <i>
      <x v="6"/>
    </i>
    <i>
      <x v="7"/>
    </i>
    <i>
      <x v="8"/>
    </i>
    <i>
      <x v="9"/>
    </i>
    <i>
      <x v="10"/>
    </i>
    <i>
      <x v="11"/>
    </i>
    <i>
      <x v="12"/>
    </i>
    <i>
      <x v="13"/>
    </i>
  </rowItems>
  <colFields count="1">
    <field x="-2"/>
  </colFields>
  <colItems count="2">
    <i>
      <x/>
    </i>
    <i i="1">
      <x v="1"/>
    </i>
  </colItems>
  <dataFields count="2">
    <dataField name="Sum of قيمة المشروع" fld="8" baseField="0" baseItem="0"/>
    <dataField name="Sum of قيمة الربح"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022D5E8-023A-4A23-BBA0-5B818154FC94}" name="PivotTable5"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location ref="A7:C11" firstHeaderRow="0" firstDataRow="1" firstDataCol="1" rowPageCount="2" colPageCount="1"/>
  <pivotFields count="18">
    <pivotField axis="axisPage" compact="0" showAll="0">
      <items count="15">
        <item x="0"/>
        <item x="1"/>
        <item x="2"/>
        <item x="3"/>
        <item x="4"/>
        <item x="5"/>
        <item x="6"/>
        <item x="7"/>
        <item x="8"/>
        <item x="9"/>
        <item x="10"/>
        <item x="11"/>
        <item x="12"/>
        <item x="13"/>
        <item t="default"/>
      </items>
    </pivotField>
    <pivotField axis="axisPage" compact="0" showAll="0">
      <items count="4">
        <item x="0"/>
        <item x="2"/>
        <item x="1"/>
        <item t="default"/>
      </items>
    </pivotField>
    <pivotField axis="axisRow" compact="0" showAll="0">
      <items count="4">
        <item x="0"/>
        <item x="2"/>
        <item x="1"/>
        <item t="default"/>
      </items>
    </pivotField>
    <pivotField compact="0" showAll="0"/>
    <pivotField compact="0" showAll="0"/>
    <pivotField compact="0" numFmtId="14" showAll="0">
      <items count="13">
        <item x="0"/>
        <item x="5"/>
        <item x="7"/>
        <item x="8"/>
        <item x="10"/>
        <item x="4"/>
        <item x="9"/>
        <item x="11"/>
        <item x="6"/>
        <item x="1"/>
        <item x="2"/>
        <item x="3"/>
        <item t="default"/>
      </items>
    </pivotField>
    <pivotField compact="0" numFmtId="14" showAll="0"/>
    <pivotField compact="0" showAll="0"/>
    <pivotField dataField="1" compact="0" showAll="0"/>
    <pivotField compact="0" showAll="0"/>
    <pivotField compact="0" showAll="0"/>
    <pivotField dataField="1" compact="0" showAll="0"/>
    <pivotField compact="0" showAll="0"/>
    <pivotField compact="0" showAll="0"/>
    <pivotField compact="0" showAll="0">
      <items count="15">
        <item x="0"/>
        <item x="1"/>
        <item x="2"/>
        <item x="3"/>
        <item x="4"/>
        <item x="5"/>
        <item x="6"/>
        <item x="7"/>
        <item x="8"/>
        <item x="9"/>
        <item x="10"/>
        <item x="11"/>
        <item x="12"/>
        <item x="13"/>
        <item t="default"/>
      </items>
    </pivotField>
    <pivotField compact="0" showAll="0">
      <items count="7">
        <item x="1"/>
        <item x="2"/>
        <item x="3"/>
        <item x="4"/>
        <item x="0"/>
        <item x="5"/>
        <item t="default"/>
      </items>
    </pivotField>
    <pivotField compact="0" showAll="0">
      <items count="5">
        <item x="1"/>
        <item x="2"/>
        <item x="0"/>
        <item x="3"/>
        <item t="default"/>
      </items>
    </pivotField>
    <pivotField compact="0" dragToRow="0" dragToCol="0" dragToPage="0" showAll="0" defaultSubtotal="0"/>
  </pivotFields>
  <rowFields count="1">
    <field x="2"/>
  </rowFields>
  <rowItems count="4">
    <i>
      <x/>
    </i>
    <i>
      <x v="1"/>
    </i>
    <i>
      <x v="2"/>
    </i>
    <i t="grand">
      <x/>
    </i>
  </rowItems>
  <colFields count="1">
    <field x="-2"/>
  </colFields>
  <colItems count="2">
    <i>
      <x/>
    </i>
    <i i="1">
      <x v="1"/>
    </i>
  </colItems>
  <pageFields count="2">
    <pageField fld="1" hier="-1"/>
    <pageField fld="0" hier="-1"/>
  </pageFields>
  <dataFields count="2">
    <dataField name="قيمة المشروع " fld="8" baseField="2" baseItem="0"/>
    <dataField name="نسبة الربحية المتوقعة " fld="11" baseField="2" baseItem="0"/>
  </dataFields>
  <formats count="83">
    <format dxfId="84">
      <pivotArea type="all" dataOnly="0" outline="0" fieldPosition="0"/>
    </format>
    <format dxfId="83">
      <pivotArea outline="0" collapsedLevelsAreSubtotals="1" fieldPosition="0"/>
    </format>
    <format dxfId="82">
      <pivotArea field="2" type="button" dataOnly="0" labelOnly="1" outline="0" axis="axisRow" fieldPosition="0"/>
    </format>
    <format dxfId="81">
      <pivotArea dataOnly="0" labelOnly="1" fieldPosition="0">
        <references count="1">
          <reference field="2" count="0"/>
        </references>
      </pivotArea>
    </format>
    <format dxfId="80">
      <pivotArea dataOnly="0" labelOnly="1" grandRow="1" outline="0" fieldPosition="0"/>
    </format>
    <format dxfId="79">
      <pivotArea dataOnly="0" labelOnly="1" outline="0" fieldPosition="0">
        <references count="1">
          <reference field="4294967294" count="2">
            <x v="0"/>
            <x v="1"/>
          </reference>
        </references>
      </pivotArea>
    </format>
    <format dxfId="78">
      <pivotArea type="all" dataOnly="0" outline="0" fieldPosition="0"/>
    </format>
    <format dxfId="77">
      <pivotArea outline="0" collapsedLevelsAreSubtotals="1" fieldPosition="0"/>
    </format>
    <format dxfId="76">
      <pivotArea field="2" type="button" dataOnly="0" labelOnly="1" outline="0" axis="axisRow" fieldPosition="0"/>
    </format>
    <format dxfId="75">
      <pivotArea dataOnly="0" labelOnly="1" fieldPosition="0">
        <references count="1">
          <reference field="2" count="0"/>
        </references>
      </pivotArea>
    </format>
    <format dxfId="74">
      <pivotArea dataOnly="0" labelOnly="1" grandRow="1" outline="0" fieldPosition="0"/>
    </format>
    <format dxfId="73">
      <pivotArea dataOnly="0" labelOnly="1" outline="0" fieldPosition="0">
        <references count="1">
          <reference field="4294967294" count="2">
            <x v="0"/>
            <x v="1"/>
          </reference>
        </references>
      </pivotArea>
    </format>
    <format dxfId="72">
      <pivotArea type="all" dataOnly="0" outline="0" fieldPosition="0"/>
    </format>
    <format dxfId="71">
      <pivotArea outline="0" collapsedLevelsAreSubtotals="1" fieldPosition="0"/>
    </format>
    <format dxfId="70">
      <pivotArea field="2" type="button" dataOnly="0" labelOnly="1" outline="0" axis="axisRow" fieldPosition="0"/>
    </format>
    <format dxfId="69">
      <pivotArea dataOnly="0" labelOnly="1" fieldPosition="0">
        <references count="1">
          <reference field="2" count="0"/>
        </references>
      </pivotArea>
    </format>
    <format dxfId="68">
      <pivotArea dataOnly="0" labelOnly="1" grandRow="1" outline="0" fieldPosition="0"/>
    </format>
    <format dxfId="67">
      <pivotArea dataOnly="0" labelOnly="1" outline="0" fieldPosition="0">
        <references count="1">
          <reference field="4294967294" count="2">
            <x v="0"/>
            <x v="1"/>
          </reference>
        </references>
      </pivotArea>
    </format>
    <format dxfId="66">
      <pivotArea type="all" dataOnly="0" outline="0" fieldPosition="0"/>
    </format>
    <format dxfId="65">
      <pivotArea field="2" type="button" dataOnly="0" labelOnly="1" outline="0" axis="axisRow" fieldPosition="0"/>
    </format>
    <format dxfId="64">
      <pivotArea dataOnly="0" labelOnly="1" fieldPosition="0">
        <references count="1">
          <reference field="2" count="0"/>
        </references>
      </pivotArea>
    </format>
    <format dxfId="63">
      <pivotArea dataOnly="0" labelOnly="1" outline="0" fieldPosition="0">
        <references count="1">
          <reference field="4294967294" count="2">
            <x v="0"/>
            <x v="1"/>
          </reference>
        </references>
      </pivotArea>
    </format>
    <format dxfId="62">
      <pivotArea type="all" dataOnly="0" outline="0" fieldPosition="0"/>
    </format>
    <format dxfId="61">
      <pivotArea outline="0" collapsedLevelsAreSubtotals="1" fieldPosition="0"/>
    </format>
    <format dxfId="60">
      <pivotArea field="2" type="button" dataOnly="0" labelOnly="1" outline="0" axis="axisRow" fieldPosition="0"/>
    </format>
    <format dxfId="59">
      <pivotArea dataOnly="0" labelOnly="1" fieldPosition="0">
        <references count="1">
          <reference field="2" count="0"/>
        </references>
      </pivotArea>
    </format>
    <format dxfId="58">
      <pivotArea dataOnly="0" labelOnly="1" grandRow="1" outline="0" fieldPosition="0"/>
    </format>
    <format dxfId="57">
      <pivotArea dataOnly="0" labelOnly="1" outline="0" fieldPosition="0">
        <references count="1">
          <reference field="4294967294" count="2">
            <x v="0"/>
            <x v="1"/>
          </reference>
        </references>
      </pivotArea>
    </format>
    <format dxfId="56">
      <pivotArea type="all" dataOnly="0" outline="0" fieldPosition="0"/>
    </format>
    <format dxfId="55">
      <pivotArea outline="0" collapsedLevelsAreSubtotals="1" fieldPosition="0"/>
    </format>
    <format dxfId="54">
      <pivotArea field="2" type="button" dataOnly="0" labelOnly="1" outline="0" axis="axisRow" fieldPosition="0"/>
    </format>
    <format dxfId="53">
      <pivotArea dataOnly="0" labelOnly="1" fieldPosition="0">
        <references count="1">
          <reference field="2" count="0"/>
        </references>
      </pivotArea>
    </format>
    <format dxfId="52">
      <pivotArea dataOnly="0" labelOnly="1" grandRow="1" outline="0" fieldPosition="0"/>
    </format>
    <format dxfId="51">
      <pivotArea dataOnly="0" labelOnly="1" outline="0" fieldPosition="0">
        <references count="1">
          <reference field="4294967294" count="2">
            <x v="0"/>
            <x v="1"/>
          </reference>
        </references>
      </pivotArea>
    </format>
    <format dxfId="50">
      <pivotArea type="all" dataOnly="0" outline="0" fieldPosition="0"/>
    </format>
    <format dxfId="49">
      <pivotArea field="2" type="button" dataOnly="0" labelOnly="1" outline="0" axis="axisRow" fieldPosition="0"/>
    </format>
    <format dxfId="48">
      <pivotArea dataOnly="0" labelOnly="1" outline="0" fieldPosition="0">
        <references count="1">
          <reference field="4294967294" count="2">
            <x v="0"/>
            <x v="1"/>
          </reference>
        </references>
      </pivotArea>
    </format>
    <format dxfId="47">
      <pivotArea type="all" dataOnly="0" outline="0" fieldPosition="0"/>
    </format>
    <format dxfId="46">
      <pivotArea outline="0" collapsedLevelsAreSubtotals="1" fieldPosition="0"/>
    </format>
    <format dxfId="45">
      <pivotArea field="2" type="button" dataOnly="0" labelOnly="1" outline="0" axis="axisRow" fieldPosition="0"/>
    </format>
    <format dxfId="44">
      <pivotArea dataOnly="0" labelOnly="1" outline="0" fieldPosition="0">
        <references count="1">
          <reference field="2" count="0"/>
        </references>
      </pivotArea>
    </format>
    <format dxfId="43">
      <pivotArea dataOnly="0" labelOnly="1" grandRow="1" outline="0" fieldPosition="0"/>
    </format>
    <format dxfId="42">
      <pivotArea dataOnly="0" labelOnly="1" outline="0" fieldPosition="0">
        <references count="1">
          <reference field="4294967294" count="2">
            <x v="0"/>
            <x v="1"/>
          </reference>
        </references>
      </pivotArea>
    </format>
    <format dxfId="41">
      <pivotArea type="all" dataOnly="0" outline="0" fieldPosition="0"/>
    </format>
    <format dxfId="40">
      <pivotArea field="2" type="button" dataOnly="0" labelOnly="1" outline="0" axis="axisRow" fieldPosition="0"/>
    </format>
    <format dxfId="39">
      <pivotArea dataOnly="0" labelOnly="1" outline="0" fieldPosition="0">
        <references count="1">
          <reference field="4294967294" count="2">
            <x v="0"/>
            <x v="1"/>
          </reference>
        </references>
      </pivotArea>
    </format>
    <format dxfId="38">
      <pivotArea type="all" dataOnly="0" outline="0" fieldPosition="0"/>
    </format>
    <format dxfId="37">
      <pivotArea field="2" type="button" dataOnly="0" labelOnly="1" outline="0" axis="axisRow" fieldPosition="0"/>
    </format>
    <format dxfId="36">
      <pivotArea dataOnly="0" labelOnly="1" outline="0" fieldPosition="0">
        <references count="1">
          <reference field="4294967294" count="2">
            <x v="0"/>
            <x v="1"/>
          </reference>
        </references>
      </pivotArea>
    </format>
    <format dxfId="35">
      <pivotArea field="2" type="button" dataOnly="0" labelOnly="1" outline="0" axis="axisRow" fieldPosition="0"/>
    </format>
    <format dxfId="34">
      <pivotArea dataOnly="0" labelOnly="1" outline="0" fieldPosition="0">
        <references count="1">
          <reference field="4294967294" count="2">
            <x v="0"/>
            <x v="1"/>
          </reference>
        </references>
      </pivotArea>
    </format>
    <format dxfId="33">
      <pivotArea field="2" type="button" dataOnly="0" labelOnly="1" outline="0" axis="axisRow" fieldPosition="0"/>
    </format>
    <format dxfId="32">
      <pivotArea dataOnly="0" labelOnly="1" outline="0" fieldPosition="0">
        <references count="1">
          <reference field="4294967294" count="1">
            <x v="0"/>
          </reference>
        </references>
      </pivotArea>
    </format>
    <format dxfId="31">
      <pivotArea outline="0" collapsedLevelsAreSubtotals="1" fieldPosition="0"/>
    </format>
    <format dxfId="30">
      <pivotArea dataOnly="0" labelOnly="1" outline="0" fieldPosition="0">
        <references count="1">
          <reference field="2" count="0"/>
        </references>
      </pivotArea>
    </format>
    <format dxfId="29">
      <pivotArea dataOnly="0" labelOnly="1" grandRow="1" outline="0" fieldPosition="0"/>
    </format>
    <format dxfId="28">
      <pivotArea outline="0" collapsedLevelsAreSubtotals="1" fieldPosition="0"/>
    </format>
    <format dxfId="27">
      <pivotArea dataOnly="0" labelOnly="1" outline="0" fieldPosition="0">
        <references count="1">
          <reference field="2" count="0"/>
        </references>
      </pivotArea>
    </format>
    <format dxfId="26">
      <pivotArea dataOnly="0" labelOnly="1" grandRow="1" outline="0" fieldPosition="0"/>
    </format>
    <format dxfId="25">
      <pivotArea type="all" dataOnly="0" outline="0" fieldPosition="0"/>
    </format>
    <format dxfId="24">
      <pivotArea outline="0" collapsedLevelsAreSubtotals="1" fieldPosition="0"/>
    </format>
    <format dxfId="23">
      <pivotArea field="2" type="button" dataOnly="0" labelOnly="1" outline="0" axis="axisRow" fieldPosition="0"/>
    </format>
    <format dxfId="22">
      <pivotArea dataOnly="0" labelOnly="1" outline="0" fieldPosition="0">
        <references count="1">
          <reference field="2" count="0"/>
        </references>
      </pivotArea>
    </format>
    <format dxfId="21">
      <pivotArea dataOnly="0" labelOnly="1" grandRow="1" outline="0" fieldPosition="0"/>
    </format>
    <format dxfId="20">
      <pivotArea dataOnly="0" labelOnly="1" outline="0" fieldPosition="0">
        <references count="1">
          <reference field="4294967294" count="2">
            <x v="0"/>
            <x v="1"/>
          </reference>
        </references>
      </pivotArea>
    </format>
    <format dxfId="19">
      <pivotArea type="all" dataOnly="0" outline="0" fieldPosition="0"/>
    </format>
    <format dxfId="18">
      <pivotArea outline="0" collapsedLevelsAreSubtotals="1" fieldPosition="0"/>
    </format>
    <format dxfId="17">
      <pivotArea field="2" type="button" dataOnly="0" labelOnly="1" outline="0" axis="axisRow" fieldPosition="0"/>
    </format>
    <format dxfId="16">
      <pivotArea dataOnly="0" labelOnly="1" outline="0" fieldPosition="0">
        <references count="1">
          <reference field="2" count="0"/>
        </references>
      </pivotArea>
    </format>
    <format dxfId="15">
      <pivotArea dataOnly="0" labelOnly="1" grandRow="1" outline="0" fieldPosition="0"/>
    </format>
    <format dxfId="14">
      <pivotArea dataOnly="0" labelOnly="1" outline="0" fieldPosition="0">
        <references count="1">
          <reference field="4294967294" count="2">
            <x v="0"/>
            <x v="1"/>
          </reference>
        </references>
      </pivotArea>
    </format>
    <format dxfId="13">
      <pivotArea field="2" type="button" dataOnly="0" labelOnly="1" outline="0" axis="axisRow" fieldPosition="0"/>
    </format>
    <format dxfId="12">
      <pivotArea dataOnly="0" labelOnly="1" outline="0" fieldPosition="0">
        <references count="1">
          <reference field="4294967294" count="2">
            <x v="0"/>
            <x v="1"/>
          </reference>
        </references>
      </pivotArea>
    </format>
    <format dxfId="11">
      <pivotArea field="0" type="button" dataOnly="0" labelOnly="1" outline="0" axis="axisPage" fieldPosition="1"/>
    </format>
    <format dxfId="10">
      <pivotArea field="0" type="button" dataOnly="0" labelOnly="1" outline="0" axis="axisPage" fieldPosition="1"/>
    </format>
    <format dxfId="9">
      <pivotArea field="1" type="button" dataOnly="0" labelOnly="1" outline="0" axis="axisPage" fieldPosition="0"/>
    </format>
    <format dxfId="8">
      <pivotArea field="1" type="button" dataOnly="0" labelOnly="1" outline="0" axis="axisPage" fieldPosition="0"/>
    </format>
    <format dxfId="7">
      <pivotArea type="all" dataOnly="0" outline="0" fieldPosition="0"/>
    </format>
    <format dxfId="6">
      <pivotArea outline="0" collapsedLevelsAreSubtotals="1" fieldPosition="0"/>
    </format>
    <format dxfId="5">
      <pivotArea field="2" type="button" dataOnly="0" labelOnly="1" outline="0" axis="axisRow" fieldPosition="0"/>
    </format>
    <format dxfId="4">
      <pivotArea dataOnly="0" labelOnly="1" outline="0" fieldPosition="0">
        <references count="1">
          <reference field="2" count="0"/>
        </references>
      </pivotArea>
    </format>
    <format dxfId="3">
      <pivotArea dataOnly="0" labelOnly="1" grandRow="1" outline="0" fieldPosition="0"/>
    </format>
    <format dxfId="2">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4735EBB-25D7-4954-87C8-CA4AC94BDD6A}" name="PivotTable8"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J7:N10" firstHeaderRow="0" firstDataRow="1" firstDataCol="2"/>
  <pivotFields count="18">
    <pivotField dataField="1" compact="0" outline="0" showAll="0"/>
    <pivotField compact="0" outline="0" showAll="0"/>
    <pivotField compact="0" outline="0" showAll="0"/>
    <pivotField compact="0" outline="0" showAll="0"/>
    <pivotField compact="0" outline="0" showAll="0"/>
    <pivotField compact="0" numFmtId="14" outline="0" showAll="0">
      <items count="13">
        <item x="0"/>
        <item x="5"/>
        <item x="7"/>
        <item x="8"/>
        <item x="10"/>
        <item x="4"/>
        <item x="9"/>
        <item x="11"/>
        <item x="6"/>
        <item x="1"/>
        <item x="2"/>
        <item x="3"/>
        <item t="default"/>
      </items>
    </pivotField>
    <pivotField compact="0" numFmtId="14" outline="0" showAll="0"/>
    <pivotField compact="0" outline="0" showAll="0"/>
    <pivotField dataField="1" compact="0" outline="0" showAll="0"/>
    <pivotField compact="0" outline="0" showAll="0"/>
    <pivotField compact="0" outline="0" showAll="0"/>
    <pivotField dataField="1" compact="0" outline="0" showAll="0"/>
    <pivotField compact="0" outline="0" showAll="0"/>
    <pivotField compact="0" outline="0" showAll="0"/>
    <pivotField name="شهر التقديم" axis="axisRow"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1"/>
        <item sd="0" x="2"/>
        <item sd="0" x="3"/>
        <item sd="0" x="4"/>
        <item x="0"/>
        <item x="5"/>
        <item t="default"/>
      </items>
    </pivotField>
    <pivotField name="سنة التقديم" axis="axisRow" compact="0" outline="0" showAll="0">
      <items count="5">
        <item sd="0" x="1"/>
        <item sd="0" x="2"/>
        <item x="0"/>
        <item x="3"/>
        <item t="default"/>
      </items>
    </pivotField>
    <pivotField compact="0" outline="0" dragToRow="0" dragToCol="0" dragToPage="0" showAll="0" defaultSubtotal="0"/>
  </pivotFields>
  <rowFields count="2">
    <field x="16"/>
    <field x="14"/>
  </rowFields>
  <rowItems count="3">
    <i>
      <x/>
    </i>
    <i>
      <x v="1"/>
    </i>
    <i t="grand">
      <x/>
    </i>
  </rowItems>
  <colFields count="1">
    <field x="-2"/>
  </colFields>
  <colItems count="3">
    <i>
      <x/>
    </i>
    <i i="1">
      <x v="1"/>
    </i>
    <i i="2">
      <x v="2"/>
    </i>
  </colItems>
  <dataFields count="3">
    <dataField name="عدد المشاريع" fld="0" subtotal="count" baseField="10" baseItem="1"/>
    <dataField name="قيمة المشروع " fld="8" baseField="10" baseItem="1"/>
    <dataField name="نسبة الربحية المتوقعة " fld="11" baseField="10" baseItem="1"/>
  </dataFields>
  <formats count="85">
    <format dxfId="169">
      <pivotArea type="all" dataOnly="0" outline="0" fieldPosition="0"/>
    </format>
    <format dxfId="168">
      <pivotArea outline="0" collapsedLevelsAreSubtotals="1" fieldPosition="0"/>
    </format>
    <format dxfId="167">
      <pivotArea field="16" type="button" dataOnly="0" labelOnly="1" outline="0" axis="axisRow" fieldPosition="0"/>
    </format>
    <format dxfId="166">
      <pivotArea dataOnly="0" labelOnly="1" fieldPosition="0">
        <references count="1">
          <reference field="16" count="2">
            <x v="0"/>
            <x v="1"/>
          </reference>
        </references>
      </pivotArea>
    </format>
    <format dxfId="165">
      <pivotArea dataOnly="0" labelOnly="1" grandRow="1" outline="0" fieldPosition="0"/>
    </format>
    <format dxfId="164">
      <pivotArea dataOnly="0" labelOnly="1" outline="0" fieldPosition="0">
        <references count="1">
          <reference field="4294967294" count="3">
            <x v="0"/>
            <x v="1"/>
            <x v="2"/>
          </reference>
        </references>
      </pivotArea>
    </format>
    <format dxfId="163">
      <pivotArea type="all" dataOnly="0" outline="0" fieldPosition="0"/>
    </format>
    <format dxfId="162">
      <pivotArea outline="0" collapsedLevelsAreSubtotals="1" fieldPosition="0"/>
    </format>
    <format dxfId="161">
      <pivotArea field="16" type="button" dataOnly="0" labelOnly="1" outline="0" axis="axisRow" fieldPosition="0"/>
    </format>
    <format dxfId="160">
      <pivotArea dataOnly="0" labelOnly="1" fieldPosition="0">
        <references count="1">
          <reference field="16" count="2">
            <x v="0"/>
            <x v="1"/>
          </reference>
        </references>
      </pivotArea>
    </format>
    <format dxfId="159">
      <pivotArea dataOnly="0" labelOnly="1" grandRow="1" outline="0" fieldPosition="0"/>
    </format>
    <format dxfId="158">
      <pivotArea dataOnly="0" labelOnly="1" outline="0" fieldPosition="0">
        <references count="1">
          <reference field="4294967294" count="3">
            <x v="0"/>
            <x v="1"/>
            <x v="2"/>
          </reference>
        </references>
      </pivotArea>
    </format>
    <format dxfId="157">
      <pivotArea type="all" dataOnly="0" outline="0" fieldPosition="0"/>
    </format>
    <format dxfId="156">
      <pivotArea field="16" type="button" dataOnly="0" labelOnly="1" outline="0" axis="axisRow" fieldPosition="0"/>
    </format>
    <format dxfId="155">
      <pivotArea dataOnly="0" labelOnly="1" fieldPosition="0">
        <references count="1">
          <reference field="16" count="2">
            <x v="0"/>
            <x v="1"/>
          </reference>
        </references>
      </pivotArea>
    </format>
    <format dxfId="154">
      <pivotArea dataOnly="0" labelOnly="1" outline="0" fieldPosition="0">
        <references count="1">
          <reference field="4294967294" count="3">
            <x v="0"/>
            <x v="1"/>
            <x v="2"/>
          </reference>
        </references>
      </pivotArea>
    </format>
    <format dxfId="153">
      <pivotArea type="all" dataOnly="0" outline="0" fieldPosition="0"/>
    </format>
    <format dxfId="152">
      <pivotArea field="16" type="button" dataOnly="0" labelOnly="1" outline="0" axis="axisRow" fieldPosition="0"/>
    </format>
    <format dxfId="151">
      <pivotArea dataOnly="0" labelOnly="1" fieldPosition="0">
        <references count="1">
          <reference field="16" count="2">
            <x v="0"/>
            <x v="1"/>
          </reference>
        </references>
      </pivotArea>
    </format>
    <format dxfId="150">
      <pivotArea dataOnly="0" labelOnly="1" outline="0" fieldPosition="0">
        <references count="1">
          <reference field="4294967294" count="3">
            <x v="0"/>
            <x v="1"/>
            <x v="2"/>
          </reference>
        </references>
      </pivotArea>
    </format>
    <format dxfId="149">
      <pivotArea type="all" dataOnly="0" outline="0" fieldPosition="0"/>
    </format>
    <format dxfId="148">
      <pivotArea outline="0" collapsedLevelsAreSubtotals="1" fieldPosition="0"/>
    </format>
    <format dxfId="147">
      <pivotArea field="16" type="button" dataOnly="0" labelOnly="1" outline="0" axis="axisRow" fieldPosition="0"/>
    </format>
    <format dxfId="146">
      <pivotArea dataOnly="0" labelOnly="1" fieldPosition="0">
        <references count="1">
          <reference field="16" count="2">
            <x v="0"/>
            <x v="1"/>
          </reference>
        </references>
      </pivotArea>
    </format>
    <format dxfId="145">
      <pivotArea dataOnly="0" labelOnly="1" grandRow="1" outline="0" fieldPosition="0"/>
    </format>
    <format dxfId="144">
      <pivotArea dataOnly="0" labelOnly="1" outline="0" fieldPosition="0">
        <references count="1">
          <reference field="4294967294" count="3">
            <x v="0"/>
            <x v="1"/>
            <x v="2"/>
          </reference>
        </references>
      </pivotArea>
    </format>
    <format dxfId="143">
      <pivotArea type="all" dataOnly="0" outline="0" fieldPosition="0"/>
    </format>
    <format dxfId="142">
      <pivotArea field="16" type="button" dataOnly="0" labelOnly="1" outline="0" axis="axisRow" fieldPosition="0"/>
    </format>
    <format dxfId="141">
      <pivotArea dataOnly="0" labelOnly="1" fieldPosition="0">
        <references count="1">
          <reference field="16" count="2">
            <x v="0"/>
            <x v="1"/>
          </reference>
        </references>
      </pivotArea>
    </format>
    <format dxfId="140">
      <pivotArea dataOnly="0" labelOnly="1" outline="0" fieldPosition="0">
        <references count="1">
          <reference field="4294967294" count="3">
            <x v="0"/>
            <x v="1"/>
            <x v="2"/>
          </reference>
        </references>
      </pivotArea>
    </format>
    <format dxfId="139">
      <pivotArea type="all" dataOnly="0" outline="0" fieldPosition="0"/>
    </format>
    <format dxfId="138">
      <pivotArea field="16" type="button" dataOnly="0" labelOnly="1" outline="0" axis="axisRow" fieldPosition="0"/>
    </format>
    <format dxfId="137">
      <pivotArea dataOnly="0" labelOnly="1" fieldPosition="0">
        <references count="1">
          <reference field="16" count="2">
            <x v="0"/>
            <x v="1"/>
          </reference>
        </references>
      </pivotArea>
    </format>
    <format dxfId="136">
      <pivotArea dataOnly="0" labelOnly="1" outline="0" fieldPosition="0">
        <references count="1">
          <reference field="4294967294" count="3">
            <x v="0"/>
            <x v="1"/>
            <x v="2"/>
          </reference>
        </references>
      </pivotArea>
    </format>
    <format dxfId="135">
      <pivotArea type="all" dataOnly="0" outline="0" fieldPosition="0"/>
    </format>
    <format dxfId="134">
      <pivotArea field="16" type="button" dataOnly="0" labelOnly="1" outline="0" axis="axisRow" fieldPosition="0"/>
    </format>
    <format dxfId="133">
      <pivotArea dataOnly="0" labelOnly="1" fieldPosition="0">
        <references count="1">
          <reference field="16" count="2">
            <x v="0"/>
            <x v="1"/>
          </reference>
        </references>
      </pivotArea>
    </format>
    <format dxfId="132">
      <pivotArea dataOnly="0" labelOnly="1" outline="0" fieldPosition="0">
        <references count="1">
          <reference field="4294967294" count="3">
            <x v="0"/>
            <x v="1"/>
            <x v="2"/>
          </reference>
        </references>
      </pivotArea>
    </format>
    <format dxfId="131">
      <pivotArea type="all" dataOnly="0" outline="0" fieldPosition="0"/>
    </format>
    <format dxfId="130">
      <pivotArea field="16" type="button" dataOnly="0" labelOnly="1" outline="0" axis="axisRow" fieldPosition="0"/>
    </format>
    <format dxfId="129">
      <pivotArea dataOnly="0" labelOnly="1" fieldPosition="0">
        <references count="1">
          <reference field="16" count="2">
            <x v="0"/>
            <x v="1"/>
          </reference>
        </references>
      </pivotArea>
    </format>
    <format dxfId="128">
      <pivotArea dataOnly="0" labelOnly="1" outline="0" fieldPosition="0">
        <references count="1">
          <reference field="4294967294" count="3">
            <x v="0"/>
            <x v="1"/>
            <x v="2"/>
          </reference>
        </references>
      </pivotArea>
    </format>
    <format dxfId="127">
      <pivotArea type="all" dataOnly="0" outline="0" fieldPosition="0"/>
    </format>
    <format dxfId="126">
      <pivotArea field="16" type="button" dataOnly="0" labelOnly="1" outline="0" axis="axisRow" fieldPosition="0"/>
    </format>
    <format dxfId="125">
      <pivotArea field="14" type="button" dataOnly="0" labelOnly="1" outline="0" axis="axisRow" fieldPosition="1"/>
    </format>
    <format dxfId="124">
      <pivotArea dataOnly="0" labelOnly="1" outline="0" fieldPosition="0">
        <references count="1">
          <reference field="4294967294" count="3">
            <x v="0"/>
            <x v="1"/>
            <x v="2"/>
          </reference>
        </references>
      </pivotArea>
    </format>
    <format dxfId="123">
      <pivotArea type="all" dataOnly="0" outline="0" fieldPosition="0"/>
    </format>
    <format dxfId="122">
      <pivotArea outline="0" collapsedLevelsAreSubtotals="1" fieldPosition="0"/>
    </format>
    <format dxfId="121">
      <pivotArea field="16" type="button" dataOnly="0" labelOnly="1" outline="0" axis="axisRow" fieldPosition="0"/>
    </format>
    <format dxfId="120">
      <pivotArea field="14" type="button" dataOnly="0" labelOnly="1" outline="0" axis="axisRow" fieldPosition="1"/>
    </format>
    <format dxfId="119">
      <pivotArea dataOnly="0" labelOnly="1" outline="0" fieldPosition="0">
        <references count="1">
          <reference field="16" count="2">
            <x v="0"/>
            <x v="1"/>
          </reference>
        </references>
      </pivotArea>
    </format>
    <format dxfId="118">
      <pivotArea dataOnly="0" labelOnly="1" grandRow="1" outline="0" fieldPosition="0"/>
    </format>
    <format dxfId="117">
      <pivotArea dataOnly="0" labelOnly="1" outline="0" fieldPosition="0">
        <references count="1">
          <reference field="4294967294" count="3">
            <x v="0"/>
            <x v="1"/>
            <x v="2"/>
          </reference>
        </references>
      </pivotArea>
    </format>
    <format dxfId="116">
      <pivotArea type="all" dataOnly="0" outline="0" fieldPosition="0"/>
    </format>
    <format dxfId="115">
      <pivotArea field="16" type="button" dataOnly="0" labelOnly="1" outline="0" axis="axisRow" fieldPosition="0"/>
    </format>
    <format dxfId="114">
      <pivotArea field="14" type="button" dataOnly="0" labelOnly="1" outline="0" axis="axisRow" fieldPosition="1"/>
    </format>
    <format dxfId="113">
      <pivotArea dataOnly="0" labelOnly="1" outline="0" fieldPosition="0">
        <references count="1">
          <reference field="4294967294" count="3">
            <x v="0"/>
            <x v="1"/>
            <x v="2"/>
          </reference>
        </references>
      </pivotArea>
    </format>
    <format dxfId="112">
      <pivotArea field="16" type="button" dataOnly="0" labelOnly="1" outline="0" axis="axisRow" fieldPosition="0"/>
    </format>
    <format dxfId="111">
      <pivotArea field="14" type="button" dataOnly="0" labelOnly="1" outline="0" axis="axisRow" fieldPosition="1"/>
    </format>
    <format dxfId="110">
      <pivotArea dataOnly="0" labelOnly="1" outline="0" fieldPosition="0">
        <references count="1">
          <reference field="4294967294" count="3">
            <x v="0"/>
            <x v="1"/>
            <x v="2"/>
          </reference>
        </references>
      </pivotArea>
    </format>
    <format dxfId="109">
      <pivotArea field="16" type="button" dataOnly="0" labelOnly="1" outline="0" axis="axisRow" fieldPosition="0"/>
    </format>
    <format dxfId="108">
      <pivotArea field="14" type="button" dataOnly="0" labelOnly="1" outline="0" axis="axisRow" fieldPosition="1"/>
    </format>
    <format dxfId="107">
      <pivotArea dataOnly="0" labelOnly="1" outline="0" fieldPosition="0">
        <references count="1">
          <reference field="4294967294" count="3">
            <x v="0"/>
            <x v="1"/>
            <x v="2"/>
          </reference>
        </references>
      </pivotArea>
    </format>
    <format dxfId="106">
      <pivotArea field="16" type="button" dataOnly="0" labelOnly="1" outline="0" axis="axisRow" fieldPosition="0"/>
    </format>
    <format dxfId="105">
      <pivotArea field="14" type="button" dataOnly="0" labelOnly="1" outline="0" axis="axisRow" fieldPosition="1"/>
    </format>
    <format dxfId="104">
      <pivotArea dataOnly="0" labelOnly="1" outline="0" fieldPosition="0">
        <references count="1">
          <reference field="4294967294" count="3">
            <x v="0"/>
            <x v="1"/>
            <x v="2"/>
          </reference>
        </references>
      </pivotArea>
    </format>
    <format dxfId="103">
      <pivotArea field="16" type="button" dataOnly="0" labelOnly="1" outline="0" axis="axisRow" fieldPosition="0"/>
    </format>
    <format dxfId="102">
      <pivotArea field="14" type="button" dataOnly="0" labelOnly="1" outline="0" axis="axisRow" fieldPosition="1"/>
    </format>
    <format dxfId="101">
      <pivotArea dataOnly="0" labelOnly="1" outline="0" fieldPosition="0">
        <references count="1">
          <reference field="4294967294" count="3">
            <x v="0"/>
            <x v="1"/>
            <x v="2"/>
          </reference>
        </references>
      </pivotArea>
    </format>
    <format dxfId="100">
      <pivotArea field="16" type="button" dataOnly="0" labelOnly="1" outline="0" axis="axisRow" fieldPosition="0"/>
    </format>
    <format dxfId="99">
      <pivotArea field="14" type="button" dataOnly="0" labelOnly="1" outline="0" axis="axisRow" fieldPosition="1"/>
    </format>
    <format dxfId="98">
      <pivotArea dataOnly="0" labelOnly="1" outline="0" fieldPosition="0">
        <references count="1">
          <reference field="4294967294" count="3">
            <x v="0"/>
            <x v="1"/>
            <x v="2"/>
          </reference>
        </references>
      </pivotArea>
    </format>
    <format dxfId="97">
      <pivotArea field="16" type="button" dataOnly="0" labelOnly="1" outline="0" axis="axisRow" fieldPosition="0"/>
    </format>
    <format dxfId="96">
      <pivotArea field="14" type="button" dataOnly="0" labelOnly="1" outline="0" axis="axisRow" fieldPosition="1"/>
    </format>
    <format dxfId="95">
      <pivotArea dataOnly="0" labelOnly="1" outline="0" fieldPosition="0">
        <references count="1">
          <reference field="4294967294" count="3">
            <x v="0"/>
            <x v="1"/>
            <x v="2"/>
          </reference>
        </references>
      </pivotArea>
    </format>
    <format dxfId="94">
      <pivotArea outline="0" collapsedLevelsAreSubtotals="1" fieldPosition="0"/>
    </format>
    <format dxfId="93">
      <pivotArea dataOnly="0" labelOnly="1" outline="0" fieldPosition="0">
        <references count="1">
          <reference field="16" count="2">
            <x v="0"/>
            <x v="1"/>
          </reference>
        </references>
      </pivotArea>
    </format>
    <format dxfId="92">
      <pivotArea dataOnly="0" labelOnly="1" grandRow="1" outline="0" fieldPosition="0"/>
    </format>
    <format dxfId="91">
      <pivotArea type="all" dataOnly="0" outline="0" fieldPosition="0"/>
    </format>
    <format dxfId="90">
      <pivotArea outline="0" collapsedLevelsAreSubtotals="1" fieldPosition="0"/>
    </format>
    <format dxfId="89">
      <pivotArea field="16" type="button" dataOnly="0" labelOnly="1" outline="0" axis="axisRow" fieldPosition="0"/>
    </format>
    <format dxfId="88">
      <pivotArea field="14" type="button" dataOnly="0" labelOnly="1" outline="0" axis="axisRow" fieldPosition="1"/>
    </format>
    <format dxfId="87">
      <pivotArea dataOnly="0" labelOnly="1" outline="0" fieldPosition="0">
        <references count="1">
          <reference field="16" count="2">
            <x v="0"/>
            <x v="1"/>
          </reference>
        </references>
      </pivotArea>
    </format>
    <format dxfId="86">
      <pivotArea dataOnly="0" labelOnly="1" grandRow="1" outline="0" fieldPosition="0"/>
    </format>
    <format dxfId="85">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8337F42-C950-4457-813C-18C640C0B08D}" name="PivotTable1" cacheId="1"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location ref="A24:F39" firstHeaderRow="0" firstDataRow="1" firstDataCol="2"/>
  <pivotFields count="16">
    <pivotField axis="axisRow" compact="0" showAll="0">
      <items count="15">
        <item sd="0" x="0"/>
        <item sd="0" x="1"/>
        <item sd="0" x="2"/>
        <item sd="0" x="3"/>
        <item sd="0" x="4"/>
        <item sd="0" x="5"/>
        <item sd="0" x="6"/>
        <item sd="0" x="7"/>
        <item sd="0" x="8"/>
        <item sd="0" x="9"/>
        <item sd="0" x="10"/>
        <item sd="0" x="11"/>
        <item sd="0" x="12"/>
        <item sd="0" x="13"/>
        <item t="default"/>
      </items>
    </pivotField>
    <pivotField axis="axisRow" compact="0" showAll="0">
      <items count="4">
        <item x="0"/>
        <item x="2"/>
        <item x="1"/>
        <item t="default"/>
      </items>
    </pivotField>
    <pivotField compact="0" showAll="0"/>
    <pivotField compact="0" showAll="0"/>
    <pivotField dataField="1" compact="0" numFmtId="3" showAll="0"/>
    <pivotField compact="0" numFmtId="3" showAll="0"/>
    <pivotField name="التكاليف  التشغيلية 20%2" compact="0" numFmtId="3" showAll="0"/>
    <pivotField dataField="1" compact="0" numFmtId="3" showAll="0"/>
    <pivotField compact="0" numFmtId="4" showAll="0"/>
    <pivotField dataField="1" compact="0" numFmtId="4" showAll="0"/>
    <pivotField dataField="1" compact="0" numFmtId="4" showAll="0"/>
    <pivotField compact="0" numFmtId="3" showAll="0"/>
    <pivotField compact="0" numFmtId="3" showAll="0"/>
    <pivotField compact="0" numFmtId="165" showAll="0"/>
    <pivotField compact="0" numFmtId="4" showAll="0"/>
    <pivotField compact="0" numFmtId="4" showAll="0"/>
  </pivotFields>
  <rowFields count="2">
    <field x="0"/>
    <field x="1"/>
  </rowFields>
  <rowItems count="15">
    <i>
      <x/>
    </i>
    <i>
      <x v="1"/>
    </i>
    <i>
      <x v="2"/>
    </i>
    <i>
      <x v="3"/>
    </i>
    <i>
      <x v="4"/>
    </i>
    <i>
      <x v="5"/>
    </i>
    <i>
      <x v="6"/>
    </i>
    <i>
      <x v="7"/>
    </i>
    <i>
      <x v="8"/>
    </i>
    <i>
      <x v="9"/>
    </i>
    <i>
      <x v="10"/>
    </i>
    <i>
      <x v="11"/>
    </i>
    <i>
      <x v="12"/>
    </i>
    <i>
      <x v="13"/>
    </i>
    <i t="grand">
      <x/>
    </i>
  </rowItems>
  <colFields count="1">
    <field x="-2"/>
  </colFields>
  <colItems count="4">
    <i>
      <x/>
    </i>
    <i i="1">
      <x v="1"/>
    </i>
    <i i="2">
      <x v="2"/>
    </i>
    <i i="3">
      <x v="3"/>
    </i>
  </colItems>
  <dataFields count="4">
    <dataField name=" تكلفة الحبة اللواحدة" fld="4" baseField="0" baseItem="0"/>
    <dataField name="المخاطرة 10%" fld="7" baseField="0" baseItem="0"/>
    <dataField name="ضرائب المنتج الواحد" fld="9" baseField="0" baseItem="0"/>
    <dataField name="إجمالي التكاليف بالضرائب" fld="10" baseField="0" baseItem="0"/>
  </dataFields>
  <formats count="121">
    <format dxfId="290">
      <pivotArea type="all" dataOnly="0" outline="0" fieldPosition="0"/>
    </format>
    <format dxfId="289">
      <pivotArea outline="0" collapsedLevelsAreSubtotals="1" fieldPosition="0"/>
    </format>
    <format dxfId="288">
      <pivotArea dataOnly="0" labelOnly="1" outline="0" fieldPosition="0">
        <references count="1">
          <reference field="0" count="0"/>
        </references>
      </pivotArea>
    </format>
    <format dxfId="287">
      <pivotArea dataOnly="0" labelOnly="1" grandRow="1" outline="0" fieldPosition="0"/>
    </format>
    <format dxfId="286">
      <pivotArea field="0" type="button" dataOnly="0" labelOnly="1" outline="0" axis="axisRow" fieldPosition="0"/>
    </format>
    <format dxfId="285">
      <pivotArea field="1" type="button" dataOnly="0" labelOnly="1" outline="0" axis="axisRow" fieldPosition="1"/>
    </format>
    <format dxfId="284">
      <pivotArea dataOnly="0" labelOnly="1" outline="0" fieldPosition="0">
        <references count="1">
          <reference field="4294967294" count="4">
            <x v="0"/>
            <x v="1"/>
            <x v="2"/>
            <x v="3"/>
          </reference>
        </references>
      </pivotArea>
    </format>
    <format dxfId="283">
      <pivotArea type="all" dataOnly="0" outline="0" fieldPosition="0"/>
    </format>
    <format dxfId="282">
      <pivotArea outline="0" collapsedLevelsAreSubtotals="1" fieldPosition="0"/>
    </format>
    <format dxfId="281">
      <pivotArea field="0" type="button" dataOnly="0" labelOnly="1" outline="0" axis="axisRow" fieldPosition="0"/>
    </format>
    <format dxfId="280">
      <pivotArea field="1" type="button" dataOnly="0" labelOnly="1" outline="0" axis="axisRow" fieldPosition="1"/>
    </format>
    <format dxfId="279">
      <pivotArea dataOnly="0" labelOnly="1" outline="0" fieldPosition="0">
        <references count="1">
          <reference field="0" count="0"/>
        </references>
      </pivotArea>
    </format>
    <format dxfId="278">
      <pivotArea dataOnly="0" labelOnly="1" grandRow="1" outline="0" fieldPosition="0"/>
    </format>
    <format dxfId="277">
      <pivotArea dataOnly="0" labelOnly="1" outline="0" fieldPosition="0">
        <references count="1">
          <reference field="4294967294" count="4">
            <x v="0"/>
            <x v="1"/>
            <x v="2"/>
            <x v="3"/>
          </reference>
        </references>
      </pivotArea>
    </format>
    <format dxfId="276">
      <pivotArea type="all" dataOnly="0" outline="0" fieldPosition="0"/>
    </format>
    <format dxfId="275">
      <pivotArea outline="0" collapsedLevelsAreSubtotals="1" fieldPosition="0"/>
    </format>
    <format dxfId="274">
      <pivotArea field="0" type="button" dataOnly="0" labelOnly="1" outline="0" axis="axisRow" fieldPosition="0"/>
    </format>
    <format dxfId="273">
      <pivotArea field="1" type="button" dataOnly="0" labelOnly="1" outline="0" axis="axisRow" fieldPosition="1"/>
    </format>
    <format dxfId="272">
      <pivotArea dataOnly="0" labelOnly="1" outline="0" fieldPosition="0">
        <references count="1">
          <reference field="0" count="0"/>
        </references>
      </pivotArea>
    </format>
    <format dxfId="271">
      <pivotArea dataOnly="0" labelOnly="1" grandRow="1" outline="0" fieldPosition="0"/>
    </format>
    <format dxfId="270">
      <pivotArea dataOnly="0" labelOnly="1" outline="0" fieldPosition="0">
        <references count="1">
          <reference field="4294967294" count="4">
            <x v="0"/>
            <x v="1"/>
            <x v="2"/>
            <x v="3"/>
          </reference>
        </references>
      </pivotArea>
    </format>
    <format dxfId="269">
      <pivotArea type="all" dataOnly="0" outline="0" fieldPosition="0"/>
    </format>
    <format dxfId="268">
      <pivotArea outline="0" collapsedLevelsAreSubtotals="1" fieldPosition="0"/>
    </format>
    <format dxfId="267">
      <pivotArea field="0" type="button" dataOnly="0" labelOnly="1" outline="0" axis="axisRow" fieldPosition="0"/>
    </format>
    <format dxfId="266">
      <pivotArea field="1" type="button" dataOnly="0" labelOnly="1" outline="0" axis="axisRow" fieldPosition="1"/>
    </format>
    <format dxfId="265">
      <pivotArea dataOnly="0" labelOnly="1" outline="0" fieldPosition="0">
        <references count="1">
          <reference field="0" count="0"/>
        </references>
      </pivotArea>
    </format>
    <format dxfId="264">
      <pivotArea dataOnly="0" labelOnly="1" grandRow="1" outline="0" fieldPosition="0"/>
    </format>
    <format dxfId="263">
      <pivotArea dataOnly="0" labelOnly="1" outline="0" fieldPosition="0">
        <references count="1">
          <reference field="4294967294" count="4">
            <x v="0"/>
            <x v="1"/>
            <x v="2"/>
            <x v="3"/>
          </reference>
        </references>
      </pivotArea>
    </format>
    <format dxfId="262">
      <pivotArea type="all" dataOnly="0" outline="0" fieldPosition="0"/>
    </format>
    <format dxfId="261">
      <pivotArea outline="0" collapsedLevelsAreSubtotals="1" fieldPosition="0"/>
    </format>
    <format dxfId="260">
      <pivotArea field="0" type="button" dataOnly="0" labelOnly="1" outline="0" axis="axisRow" fieldPosition="0"/>
    </format>
    <format dxfId="259">
      <pivotArea field="1" type="button" dataOnly="0" labelOnly="1" outline="0" axis="axisRow" fieldPosition="1"/>
    </format>
    <format dxfId="258">
      <pivotArea dataOnly="0" labelOnly="1" outline="0" fieldPosition="0">
        <references count="1">
          <reference field="0" count="0"/>
        </references>
      </pivotArea>
    </format>
    <format dxfId="257">
      <pivotArea dataOnly="0" labelOnly="1" grandRow="1" outline="0" fieldPosition="0"/>
    </format>
    <format dxfId="256">
      <pivotArea dataOnly="0" labelOnly="1" outline="0" fieldPosition="0">
        <references count="1">
          <reference field="4294967294" count="4">
            <x v="0"/>
            <x v="1"/>
            <x v="2"/>
            <x v="3"/>
          </reference>
        </references>
      </pivotArea>
    </format>
    <format dxfId="255">
      <pivotArea type="all" dataOnly="0" outline="0" fieldPosition="0"/>
    </format>
    <format dxfId="254">
      <pivotArea outline="0" collapsedLevelsAreSubtotals="1" fieldPosition="0"/>
    </format>
    <format dxfId="253">
      <pivotArea field="0" type="button" dataOnly="0" labelOnly="1" outline="0" axis="axisRow" fieldPosition="0"/>
    </format>
    <format dxfId="252">
      <pivotArea field="1" type="button" dataOnly="0" labelOnly="1" outline="0" axis="axisRow" fieldPosition="1"/>
    </format>
    <format dxfId="251">
      <pivotArea dataOnly="0" labelOnly="1" outline="0" fieldPosition="0">
        <references count="1">
          <reference field="0" count="0"/>
        </references>
      </pivotArea>
    </format>
    <format dxfId="250">
      <pivotArea dataOnly="0" labelOnly="1" grandRow="1" outline="0" fieldPosition="0"/>
    </format>
    <format dxfId="249">
      <pivotArea dataOnly="0" labelOnly="1" outline="0" fieldPosition="0">
        <references count="1">
          <reference field="4294967294" count="4">
            <x v="0"/>
            <x v="1"/>
            <x v="2"/>
            <x v="3"/>
          </reference>
        </references>
      </pivotArea>
    </format>
    <format dxfId="248">
      <pivotArea type="all" dataOnly="0" outline="0" fieldPosition="0"/>
    </format>
    <format dxfId="247">
      <pivotArea dataOnly="0" labelOnly="1" fieldPosition="0">
        <references count="1">
          <reference field="0" count="0"/>
        </references>
      </pivotArea>
    </format>
    <format dxfId="246">
      <pivotArea field="1" type="button" dataOnly="0" labelOnly="1" outline="0" axis="axisRow" fieldPosition="1"/>
    </format>
    <format dxfId="245">
      <pivotArea dataOnly="0" labelOnly="1" outline="0" fieldPosition="0">
        <references count="1">
          <reference field="4294967294" count="4">
            <x v="0"/>
            <x v="1"/>
            <x v="2"/>
            <x v="3"/>
          </reference>
        </references>
      </pivotArea>
    </format>
    <format dxfId="244">
      <pivotArea field="1" type="button" dataOnly="0" labelOnly="1" outline="0" axis="axisRow" fieldPosition="1"/>
    </format>
    <format dxfId="243">
      <pivotArea dataOnly="0" labelOnly="1" outline="0" fieldPosition="0">
        <references count="1">
          <reference field="4294967294" count="4">
            <x v="0"/>
            <x v="1"/>
            <x v="2"/>
            <x v="3"/>
          </reference>
        </references>
      </pivotArea>
    </format>
    <format dxfId="242">
      <pivotArea type="all" dataOnly="0" outline="0" fieldPosition="0"/>
    </format>
    <format dxfId="241">
      <pivotArea outline="0" collapsedLevelsAreSubtotals="1" fieldPosition="0"/>
    </format>
    <format dxfId="240">
      <pivotArea field="0" type="button" dataOnly="0" labelOnly="1" outline="0" axis="axisRow" fieldPosition="0"/>
    </format>
    <format dxfId="239">
      <pivotArea field="1" type="button" dataOnly="0" labelOnly="1" outline="0" axis="axisRow" fieldPosition="1"/>
    </format>
    <format dxfId="238">
      <pivotArea dataOnly="0" labelOnly="1" outline="0" fieldPosition="0">
        <references count="1">
          <reference field="0" count="0"/>
        </references>
      </pivotArea>
    </format>
    <format dxfId="237">
      <pivotArea dataOnly="0" labelOnly="1" grandRow="1" outline="0" fieldPosition="0"/>
    </format>
    <format dxfId="236">
      <pivotArea dataOnly="0" labelOnly="1" outline="0" fieldPosition="0">
        <references count="1">
          <reference field="4294967294" count="4">
            <x v="0"/>
            <x v="1"/>
            <x v="2"/>
            <x v="3"/>
          </reference>
        </references>
      </pivotArea>
    </format>
    <format dxfId="235">
      <pivotArea field="0" type="button" dataOnly="0" labelOnly="1" outline="0" axis="axisRow" fieldPosition="0"/>
    </format>
    <format dxfId="234">
      <pivotArea field="1" type="button" dataOnly="0" labelOnly="1" outline="0" axis="axisRow" fieldPosition="1"/>
    </format>
    <format dxfId="233">
      <pivotArea dataOnly="0" labelOnly="1" outline="0" fieldPosition="0">
        <references count="1">
          <reference field="4294967294" count="1">
            <x v="0"/>
          </reference>
        </references>
      </pivotArea>
    </format>
    <format dxfId="232">
      <pivotArea dataOnly="0" labelOnly="1" outline="0" fieldPosition="0">
        <references count="1">
          <reference field="4294967294" count="1">
            <x v="1"/>
          </reference>
        </references>
      </pivotArea>
    </format>
    <format dxfId="231">
      <pivotArea dataOnly="0" labelOnly="1" outline="0" fieldPosition="0">
        <references count="1">
          <reference field="4294967294" count="1">
            <x v="2"/>
          </reference>
        </references>
      </pivotArea>
    </format>
    <format dxfId="230">
      <pivotArea dataOnly="0" labelOnly="1" outline="0" fieldPosition="0">
        <references count="1">
          <reference field="4294967294" count="1">
            <x v="3"/>
          </reference>
        </references>
      </pivotArea>
    </format>
    <format dxfId="229">
      <pivotArea field="0" type="button" dataOnly="0" labelOnly="1" outline="0" axis="axisRow" fieldPosition="0"/>
    </format>
    <format dxfId="228">
      <pivotArea field="0" type="button" dataOnly="0" labelOnly="1" outline="0" axis="axisRow" fieldPosition="0"/>
    </format>
    <format dxfId="227">
      <pivotArea fieldPosition="0">
        <references count="2">
          <reference field="0" count="1" selected="0">
            <x v="0"/>
          </reference>
          <reference field="1" count="2">
            <x v="0"/>
            <x v="2"/>
          </reference>
        </references>
      </pivotArea>
    </format>
    <format dxfId="226">
      <pivotArea dataOnly="0" labelOnly="1" outline="0" fieldPosition="0">
        <references count="2">
          <reference field="0" count="1" selected="0">
            <x v="0"/>
          </reference>
          <reference field="1" count="2">
            <x v="0"/>
            <x v="2"/>
          </reference>
        </references>
      </pivotArea>
    </format>
    <format dxfId="225">
      <pivotArea fieldPosition="0">
        <references count="2">
          <reference field="0" count="1" selected="0">
            <x v="0"/>
          </reference>
          <reference field="1" count="2">
            <x v="0"/>
            <x v="2"/>
          </reference>
        </references>
      </pivotArea>
    </format>
    <format dxfId="224">
      <pivotArea dataOnly="0" labelOnly="1" outline="0" fieldPosition="0">
        <references count="2">
          <reference field="0" count="1" selected="0">
            <x v="0"/>
          </reference>
          <reference field="1" count="2">
            <x v="0"/>
            <x v="2"/>
          </reference>
        </references>
      </pivotArea>
    </format>
    <format dxfId="223">
      <pivotArea field="0" type="button" dataOnly="0" labelOnly="1" outline="0" axis="axisRow" fieldPosition="0"/>
    </format>
    <format dxfId="222">
      <pivotArea field="0" type="button" dataOnly="0" labelOnly="1" outline="0" axis="axisRow" fieldPosition="0"/>
    </format>
    <format dxfId="221">
      <pivotArea outline="0" collapsedLevelsAreSubtotals="1" fieldPosition="0"/>
    </format>
    <format dxfId="220">
      <pivotArea dataOnly="0" labelOnly="1" outline="0" fieldPosition="0">
        <references count="1">
          <reference field="0" count="0"/>
        </references>
      </pivotArea>
    </format>
    <format dxfId="219">
      <pivotArea dataOnly="0" labelOnly="1" grandRow="1" outline="0" fieldPosition="0"/>
    </format>
    <format dxfId="218">
      <pivotArea dataOnly="0" labelOnly="1" outline="0" fieldPosition="0">
        <references count="2">
          <reference field="0" count="1" selected="0">
            <x v="1"/>
          </reference>
          <reference field="1" count="1">
            <x v="2"/>
          </reference>
        </references>
      </pivotArea>
    </format>
    <format dxfId="217">
      <pivotArea type="all" dataOnly="0" outline="0" fieldPosition="0"/>
    </format>
    <format dxfId="216">
      <pivotArea field="0" type="button" dataOnly="0" labelOnly="1" outline="0" axis="axisRow" fieldPosition="0"/>
    </format>
    <format dxfId="215">
      <pivotArea field="1" type="button" dataOnly="0" labelOnly="1" outline="0" axis="axisRow" fieldPosition="1"/>
    </format>
    <format dxfId="214">
      <pivotArea dataOnly="0" labelOnly="1" outline="0" fieldPosition="0">
        <references count="1">
          <reference field="4294967294" count="4">
            <x v="0"/>
            <x v="1"/>
            <x v="2"/>
            <x v="3"/>
          </reference>
        </references>
      </pivotArea>
    </format>
    <format dxfId="213">
      <pivotArea outline="0" collapsedLevelsAreSubtotals="1" fieldPosition="0"/>
    </format>
    <format dxfId="212">
      <pivotArea dataOnly="0" labelOnly="1" outline="0" fieldPosition="0">
        <references count="1">
          <reference field="0" count="0"/>
        </references>
      </pivotArea>
    </format>
    <format dxfId="211">
      <pivotArea dataOnly="0" labelOnly="1" grandRow="1" outline="0" fieldPosition="0"/>
    </format>
    <format dxfId="210">
      <pivotArea dataOnly="0" labelOnly="1" outline="0" fieldPosition="0">
        <references count="1">
          <reference field="0" count="1">
            <x v="0"/>
          </reference>
        </references>
      </pivotArea>
    </format>
    <format dxfId="209">
      <pivotArea dataOnly="0" labelOnly="1" outline="0" fieldPosition="0">
        <references count="1">
          <reference field="0" count="1">
            <x v="1"/>
          </reference>
        </references>
      </pivotArea>
    </format>
    <format dxfId="208">
      <pivotArea dataOnly="0" labelOnly="1" outline="0" fieldPosition="0">
        <references count="1">
          <reference field="0" count="1">
            <x v="2"/>
          </reference>
        </references>
      </pivotArea>
    </format>
    <format dxfId="207">
      <pivotArea dataOnly="0" labelOnly="1" outline="0" fieldPosition="0">
        <references count="1">
          <reference field="0" count="1">
            <x v="3"/>
          </reference>
        </references>
      </pivotArea>
    </format>
    <format dxfId="206">
      <pivotArea dataOnly="0" labelOnly="1" outline="0" fieldPosition="0">
        <references count="1">
          <reference field="0" count="1">
            <x v="4"/>
          </reference>
        </references>
      </pivotArea>
    </format>
    <format dxfId="205">
      <pivotArea dataOnly="0" labelOnly="1" outline="0" fieldPosition="0">
        <references count="1">
          <reference field="0" count="1">
            <x v="5"/>
          </reference>
        </references>
      </pivotArea>
    </format>
    <format dxfId="204">
      <pivotArea dataOnly="0" labelOnly="1" outline="0" fieldPosition="0">
        <references count="1">
          <reference field="0" count="1">
            <x v="6"/>
          </reference>
        </references>
      </pivotArea>
    </format>
    <format dxfId="203">
      <pivotArea dataOnly="0" labelOnly="1" outline="0" fieldPosition="0">
        <references count="1">
          <reference field="0" count="1">
            <x v="7"/>
          </reference>
        </references>
      </pivotArea>
    </format>
    <format dxfId="202">
      <pivotArea dataOnly="0" labelOnly="1" outline="0" fieldPosition="0">
        <references count="1">
          <reference field="0" count="1">
            <x v="8"/>
          </reference>
        </references>
      </pivotArea>
    </format>
    <format dxfId="201">
      <pivotArea dataOnly="0" labelOnly="1" outline="0" fieldPosition="0">
        <references count="1">
          <reference field="0" count="1">
            <x v="9"/>
          </reference>
        </references>
      </pivotArea>
    </format>
    <format dxfId="200">
      <pivotArea dataOnly="0" labelOnly="1" outline="0" fieldPosition="0">
        <references count="1">
          <reference field="0" count="1">
            <x v="10"/>
          </reference>
        </references>
      </pivotArea>
    </format>
    <format dxfId="199">
      <pivotArea dataOnly="0" labelOnly="1" outline="0" fieldPosition="0">
        <references count="1">
          <reference field="0" count="1">
            <x v="11"/>
          </reference>
        </references>
      </pivotArea>
    </format>
    <format dxfId="198">
      <pivotArea dataOnly="0" labelOnly="1" outline="0" fieldPosition="0">
        <references count="1">
          <reference field="0" count="1">
            <x v="12"/>
          </reference>
        </references>
      </pivotArea>
    </format>
    <format dxfId="197">
      <pivotArea dataOnly="0" labelOnly="1" outline="0" fieldPosition="0">
        <references count="1">
          <reference field="0" count="1">
            <x v="13"/>
          </reference>
        </references>
      </pivotArea>
    </format>
    <format dxfId="196">
      <pivotArea field="0" type="button" dataOnly="0" labelOnly="1" outline="0" axis="axisRow" fieldPosition="0"/>
    </format>
    <format dxfId="195">
      <pivotArea field="1" type="button" dataOnly="0" labelOnly="1" outline="0" axis="axisRow" fieldPosition="1"/>
    </format>
    <format dxfId="194">
      <pivotArea dataOnly="0" labelOnly="1" outline="0" fieldPosition="0">
        <references count="1">
          <reference field="4294967294" count="4">
            <x v="0"/>
            <x v="1"/>
            <x v="2"/>
            <x v="3"/>
          </reference>
        </references>
      </pivotArea>
    </format>
    <format dxfId="193">
      <pivotArea outline="0" collapsedLevelsAreSubtotals="1" fieldPosition="0"/>
    </format>
    <format dxfId="192">
      <pivotArea dataOnly="0" labelOnly="1" outline="0" fieldPosition="0">
        <references count="1">
          <reference field="0" count="0"/>
        </references>
      </pivotArea>
    </format>
    <format dxfId="191">
      <pivotArea dataOnly="0" labelOnly="1" grandRow="1" outline="0" fieldPosition="0"/>
    </format>
    <format dxfId="190">
      <pivotArea type="all" dataOnly="0" outline="0" fieldPosition="0"/>
    </format>
    <format dxfId="189">
      <pivotArea outline="0" collapsedLevelsAreSubtotals="1" fieldPosition="0"/>
    </format>
    <format dxfId="188">
      <pivotArea field="0" type="button" dataOnly="0" labelOnly="1" outline="0" axis="axisRow" fieldPosition="0"/>
    </format>
    <format dxfId="187">
      <pivotArea field="1" type="button" dataOnly="0" labelOnly="1" outline="0" axis="axisRow" fieldPosition="1"/>
    </format>
    <format dxfId="186">
      <pivotArea dataOnly="0" labelOnly="1" outline="0" fieldPosition="0">
        <references count="1">
          <reference field="0" count="0"/>
        </references>
      </pivotArea>
    </format>
    <format dxfId="185">
      <pivotArea dataOnly="0" labelOnly="1" grandRow="1" outline="0" fieldPosition="0"/>
    </format>
    <format dxfId="184">
      <pivotArea dataOnly="0" labelOnly="1" outline="0" fieldPosition="0">
        <references count="1">
          <reference field="4294967294" count="4">
            <x v="0"/>
            <x v="1"/>
            <x v="2"/>
            <x v="3"/>
          </reference>
        </references>
      </pivotArea>
    </format>
    <format dxfId="183">
      <pivotArea type="all" dataOnly="0" outline="0" fieldPosition="0"/>
    </format>
    <format dxfId="182">
      <pivotArea outline="0" collapsedLevelsAreSubtotals="1" fieldPosition="0"/>
    </format>
    <format dxfId="181">
      <pivotArea field="0" type="button" dataOnly="0" labelOnly="1" outline="0" axis="axisRow" fieldPosition="0"/>
    </format>
    <format dxfId="180">
      <pivotArea field="1" type="button" dataOnly="0" labelOnly="1" outline="0" axis="axisRow" fieldPosition="1"/>
    </format>
    <format dxfId="179">
      <pivotArea dataOnly="0" labelOnly="1" outline="0" fieldPosition="0">
        <references count="1">
          <reference field="0" count="0"/>
        </references>
      </pivotArea>
    </format>
    <format dxfId="178">
      <pivotArea dataOnly="0" labelOnly="1" grandRow="1" outline="0" fieldPosition="0"/>
    </format>
    <format dxfId="177">
      <pivotArea dataOnly="0" labelOnly="1" outline="0" fieldPosition="0">
        <references count="1">
          <reference field="4294967294" count="4">
            <x v="0"/>
            <x v="1"/>
            <x v="2"/>
            <x v="3"/>
          </reference>
        </references>
      </pivotArea>
    </format>
    <format dxfId="176">
      <pivotArea type="all" dataOnly="0" outline="0" fieldPosition="0"/>
    </format>
    <format dxfId="175">
      <pivotArea outline="0" collapsedLevelsAreSubtotals="1" fieldPosition="0"/>
    </format>
    <format dxfId="174">
      <pivotArea field="0" type="button" dataOnly="0" labelOnly="1" outline="0" axis="axisRow" fieldPosition="0"/>
    </format>
    <format dxfId="173">
      <pivotArea field="1" type="button" dataOnly="0" labelOnly="1" outline="0" axis="axisRow" fieldPosition="1"/>
    </format>
    <format dxfId="172">
      <pivotArea dataOnly="0" labelOnly="1" outline="0" fieldPosition="0">
        <references count="1">
          <reference field="0" count="0"/>
        </references>
      </pivotArea>
    </format>
    <format dxfId="171">
      <pivotArea dataOnly="0" labelOnly="1" grandRow="1" outline="0" fieldPosition="0"/>
    </format>
    <format dxfId="17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12F337D-18D6-43A0-A0E7-6BE4962711DF}" name="PivotTable2" cacheId="1"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location ref="J24:P39" firstHeaderRow="0" firstDataRow="1" firstDataCol="2"/>
  <pivotFields count="16">
    <pivotField axis="axisRow" compact="0" showAll="0">
      <items count="15">
        <item sd="0" x="0"/>
        <item sd="0" x="1"/>
        <item sd="0" x="2"/>
        <item sd="0" x="3"/>
        <item sd="0" x="4"/>
        <item sd="0" x="5"/>
        <item sd="0" x="6"/>
        <item sd="0" x="7"/>
        <item sd="0" x="8"/>
        <item sd="0" x="9"/>
        <item sd="0" x="10"/>
        <item sd="0" x="11"/>
        <item sd="0" x="12"/>
        <item sd="0" x="13"/>
        <item t="default"/>
      </items>
    </pivotField>
    <pivotField axis="axisRow" compact="0" showAll="0">
      <items count="4">
        <item x="0"/>
        <item x="2"/>
        <item x="1"/>
        <item t="default"/>
      </items>
    </pivotField>
    <pivotField compact="0" showAll="0"/>
    <pivotField compact="0" showAll="0"/>
    <pivotField compact="0" numFmtId="3" showAll="0"/>
    <pivotField compact="0" numFmtId="3" showAll="0"/>
    <pivotField compact="0" numFmtId="3" showAll="0"/>
    <pivotField compact="0" numFmtId="3" showAll="0"/>
    <pivotField compact="0" numFmtId="4" showAll="0"/>
    <pivotField compact="0" numFmtId="4" showAll="0"/>
    <pivotField compact="0" numFmtId="4" showAll="0"/>
    <pivotField dataField="1" compact="0" numFmtId="3" showAll="0"/>
    <pivotField dataField="1" compact="0" numFmtId="3" showAll="0"/>
    <pivotField dataField="1" compact="0" numFmtId="165" showAll="0"/>
    <pivotField dataField="1" compact="0" numFmtId="4" showAll="0"/>
    <pivotField dataField="1" compact="0" numFmtId="4" showAll="0"/>
  </pivotFields>
  <rowFields count="2">
    <field x="0"/>
    <field x="1"/>
  </rowFields>
  <rowItems count="15">
    <i>
      <x/>
    </i>
    <i>
      <x v="1"/>
    </i>
    <i>
      <x v="2"/>
    </i>
    <i>
      <x v="3"/>
    </i>
    <i>
      <x v="4"/>
    </i>
    <i>
      <x v="5"/>
    </i>
    <i>
      <x v="6"/>
    </i>
    <i>
      <x v="7"/>
    </i>
    <i>
      <x v="8"/>
    </i>
    <i>
      <x v="9"/>
    </i>
    <i>
      <x v="10"/>
    </i>
    <i>
      <x v="11"/>
    </i>
    <i>
      <x v="12"/>
    </i>
    <i>
      <x v="13"/>
    </i>
    <i t="grand">
      <x/>
    </i>
  </rowItems>
  <colFields count="1">
    <field x="-2"/>
  </colFields>
  <colItems count="5">
    <i>
      <x/>
    </i>
    <i i="1">
      <x v="1"/>
    </i>
    <i i="2">
      <x v="2"/>
    </i>
    <i i="3">
      <x v="3"/>
    </i>
    <i i="4">
      <x v="4"/>
    </i>
  </colItems>
  <dataFields count="5">
    <dataField name="الكمية " fld="11" baseField="0" baseItem="0"/>
    <dataField name="الإجمالي بدون الضرائب" fld="12" baseField="0" baseItem="0"/>
    <dataField name="الضريبة" fld="13" baseField="0" baseItem="0"/>
    <dataField name=" الإجمالي بالضرائب " fld="14" baseField="0" baseItem="0"/>
    <dataField name="إجمالي الربح " fld="15" baseField="0" baseItem="0"/>
  </dataFields>
  <formats count="110">
    <format dxfId="400">
      <pivotArea field="0" type="button" dataOnly="0" labelOnly="1" outline="0" axis="axisRow" fieldPosition="0"/>
    </format>
    <format dxfId="399">
      <pivotArea field="1" type="button" dataOnly="0" labelOnly="1" outline="0" axis="axisRow" fieldPosition="1"/>
    </format>
    <format dxfId="398">
      <pivotArea dataOnly="0" labelOnly="1" outline="0" fieldPosition="0">
        <references count="1">
          <reference field="4294967294" count="5">
            <x v="0"/>
            <x v="1"/>
            <x v="2"/>
            <x v="3"/>
            <x v="4"/>
          </reference>
        </references>
      </pivotArea>
    </format>
    <format dxfId="397">
      <pivotArea field="0" type="button" dataOnly="0" labelOnly="1" outline="0" axis="axisRow" fieldPosition="0"/>
    </format>
    <format dxfId="396">
      <pivotArea field="1" type="button" dataOnly="0" labelOnly="1" outline="0" axis="axisRow" fieldPosition="1"/>
    </format>
    <format dxfId="395">
      <pivotArea dataOnly="0" labelOnly="1" outline="0" fieldPosition="0">
        <references count="1">
          <reference field="4294967294" count="1">
            <x v="0"/>
          </reference>
        </references>
      </pivotArea>
    </format>
    <format dxfId="394">
      <pivotArea dataOnly="0" labelOnly="1" outline="0" fieldPosition="0">
        <references count="1">
          <reference field="4294967294" count="1">
            <x v="1"/>
          </reference>
        </references>
      </pivotArea>
    </format>
    <format dxfId="393">
      <pivotArea dataOnly="0" labelOnly="1" outline="0" fieldPosition="0">
        <references count="1">
          <reference field="4294967294" count="1">
            <x v="3"/>
          </reference>
        </references>
      </pivotArea>
    </format>
    <format dxfId="392">
      <pivotArea field="0" type="button" dataOnly="0" labelOnly="1" outline="0" axis="axisRow" fieldPosition="0"/>
    </format>
    <format dxfId="391">
      <pivotArea type="all" dataOnly="0" outline="0" fieldPosition="0"/>
    </format>
    <format dxfId="390">
      <pivotArea outline="0" collapsedLevelsAreSubtotals="1" fieldPosition="0"/>
    </format>
    <format dxfId="389">
      <pivotArea field="0" type="button" dataOnly="0" labelOnly="1" outline="0" axis="axisRow" fieldPosition="0"/>
    </format>
    <format dxfId="388">
      <pivotArea field="1" type="button" dataOnly="0" labelOnly="1" outline="0" axis="axisRow" fieldPosition="1"/>
    </format>
    <format dxfId="387">
      <pivotArea dataOnly="0" labelOnly="1" outline="0" fieldPosition="0">
        <references count="1">
          <reference field="0" count="0"/>
        </references>
      </pivotArea>
    </format>
    <format dxfId="386">
      <pivotArea dataOnly="0" labelOnly="1" grandRow="1" outline="0" fieldPosition="0"/>
    </format>
    <format dxfId="385">
      <pivotArea dataOnly="0" labelOnly="1" outline="0" fieldPosition="0">
        <references count="1">
          <reference field="4294967294" count="5">
            <x v="0"/>
            <x v="1"/>
            <x v="2"/>
            <x v="3"/>
            <x v="4"/>
          </reference>
        </references>
      </pivotArea>
    </format>
    <format dxfId="384">
      <pivotArea type="all" dataOnly="0" outline="0" fieldPosition="0"/>
    </format>
    <format dxfId="383">
      <pivotArea outline="0" collapsedLevelsAreSubtotals="1" fieldPosition="0"/>
    </format>
    <format dxfId="382">
      <pivotArea field="0" type="button" dataOnly="0" labelOnly="1" outline="0" axis="axisRow" fieldPosition="0"/>
    </format>
    <format dxfId="381">
      <pivotArea field="1" type="button" dataOnly="0" labelOnly="1" outline="0" axis="axisRow" fieldPosition="1"/>
    </format>
    <format dxfId="380">
      <pivotArea dataOnly="0" labelOnly="1" outline="0" fieldPosition="0">
        <references count="1">
          <reference field="0" count="0"/>
        </references>
      </pivotArea>
    </format>
    <format dxfId="379">
      <pivotArea dataOnly="0" labelOnly="1" grandRow="1" outline="0" fieldPosition="0"/>
    </format>
    <format dxfId="378">
      <pivotArea dataOnly="0" labelOnly="1" outline="0" fieldPosition="0">
        <references count="1">
          <reference field="4294967294" count="5">
            <x v="0"/>
            <x v="1"/>
            <x v="2"/>
            <x v="3"/>
            <x v="4"/>
          </reference>
        </references>
      </pivotArea>
    </format>
    <format dxfId="377">
      <pivotArea type="all" dataOnly="0" outline="0" fieldPosition="0"/>
    </format>
    <format dxfId="376">
      <pivotArea outline="0" collapsedLevelsAreSubtotals="1" fieldPosition="0"/>
    </format>
    <format dxfId="375">
      <pivotArea field="0" type="button" dataOnly="0" labelOnly="1" outline="0" axis="axisRow" fieldPosition="0"/>
    </format>
    <format dxfId="374">
      <pivotArea field="1" type="button" dataOnly="0" labelOnly="1" outline="0" axis="axisRow" fieldPosition="1"/>
    </format>
    <format dxfId="373">
      <pivotArea dataOnly="0" labelOnly="1" outline="0" fieldPosition="0">
        <references count="1">
          <reference field="0" count="0"/>
        </references>
      </pivotArea>
    </format>
    <format dxfId="372">
      <pivotArea dataOnly="0" labelOnly="1" grandRow="1" outline="0" fieldPosition="0"/>
    </format>
    <format dxfId="371">
      <pivotArea dataOnly="0" labelOnly="1" outline="0" fieldPosition="0">
        <references count="1">
          <reference field="4294967294" count="5">
            <x v="0"/>
            <x v="1"/>
            <x v="2"/>
            <x v="3"/>
            <x v="4"/>
          </reference>
        </references>
      </pivotArea>
    </format>
    <format dxfId="370">
      <pivotArea type="all" dataOnly="0" outline="0" fieldPosition="0"/>
    </format>
    <format dxfId="369">
      <pivotArea outline="0" collapsedLevelsAreSubtotals="1" fieldPosition="0"/>
    </format>
    <format dxfId="368">
      <pivotArea field="0" type="button" dataOnly="0" labelOnly="1" outline="0" axis="axisRow" fieldPosition="0"/>
    </format>
    <format dxfId="367">
      <pivotArea field="1" type="button" dataOnly="0" labelOnly="1" outline="0" axis="axisRow" fieldPosition="1"/>
    </format>
    <format dxfId="366">
      <pivotArea dataOnly="0" labelOnly="1" outline="0" fieldPosition="0">
        <references count="1">
          <reference field="0" count="0"/>
        </references>
      </pivotArea>
    </format>
    <format dxfId="365">
      <pivotArea dataOnly="0" labelOnly="1" grandRow="1" outline="0" fieldPosition="0"/>
    </format>
    <format dxfId="364">
      <pivotArea dataOnly="0" labelOnly="1" outline="0" fieldPosition="0">
        <references count="1">
          <reference field="4294967294" count="5">
            <x v="0"/>
            <x v="1"/>
            <x v="2"/>
            <x v="3"/>
            <x v="4"/>
          </reference>
        </references>
      </pivotArea>
    </format>
    <format dxfId="363">
      <pivotArea type="all" dataOnly="0" outline="0" fieldPosition="0"/>
    </format>
    <format dxfId="362">
      <pivotArea outline="0" collapsedLevelsAreSubtotals="1" fieldPosition="0"/>
    </format>
    <format dxfId="361">
      <pivotArea field="0" type="button" dataOnly="0" labelOnly="1" outline="0" axis="axisRow" fieldPosition="0"/>
    </format>
    <format dxfId="360">
      <pivotArea field="1" type="button" dataOnly="0" labelOnly="1" outline="0" axis="axisRow" fieldPosition="1"/>
    </format>
    <format dxfId="359">
      <pivotArea dataOnly="0" labelOnly="1" outline="0" fieldPosition="0">
        <references count="1">
          <reference field="0" count="0"/>
        </references>
      </pivotArea>
    </format>
    <format dxfId="358">
      <pivotArea dataOnly="0" labelOnly="1" grandRow="1" outline="0" fieldPosition="0"/>
    </format>
    <format dxfId="357">
      <pivotArea dataOnly="0" labelOnly="1" outline="0" fieldPosition="0">
        <references count="1">
          <reference field="4294967294" count="5">
            <x v="0"/>
            <x v="1"/>
            <x v="2"/>
            <x v="3"/>
            <x v="4"/>
          </reference>
        </references>
      </pivotArea>
    </format>
    <format dxfId="356">
      <pivotArea type="all" dataOnly="0" outline="0" fieldPosition="0"/>
    </format>
    <format dxfId="355">
      <pivotArea outline="0" collapsedLevelsAreSubtotals="1" fieldPosition="0"/>
    </format>
    <format dxfId="354">
      <pivotArea field="0" type="button" dataOnly="0" labelOnly="1" outline="0" axis="axisRow" fieldPosition="0"/>
    </format>
    <format dxfId="353">
      <pivotArea field="1" type="button" dataOnly="0" labelOnly="1" outline="0" axis="axisRow" fieldPosition="1"/>
    </format>
    <format dxfId="352">
      <pivotArea dataOnly="0" labelOnly="1" outline="0" fieldPosition="0">
        <references count="1">
          <reference field="0" count="0"/>
        </references>
      </pivotArea>
    </format>
    <format dxfId="351">
      <pivotArea dataOnly="0" labelOnly="1" grandRow="1" outline="0" fieldPosition="0"/>
    </format>
    <format dxfId="350">
      <pivotArea dataOnly="0" labelOnly="1" outline="0" fieldPosition="0">
        <references count="1">
          <reference field="4294967294" count="5">
            <x v="0"/>
            <x v="1"/>
            <x v="2"/>
            <x v="3"/>
            <x v="4"/>
          </reference>
        </references>
      </pivotArea>
    </format>
    <format dxfId="349">
      <pivotArea type="all" dataOnly="0" outline="0" fieldPosition="0"/>
    </format>
    <format dxfId="348">
      <pivotArea field="0" type="button" dataOnly="0" labelOnly="1" outline="0" axis="axisRow" fieldPosition="0"/>
    </format>
    <format dxfId="347">
      <pivotArea field="1" type="button" dataOnly="0" labelOnly="1" outline="0" axis="axisRow" fieldPosition="1"/>
    </format>
    <format dxfId="346">
      <pivotArea dataOnly="0" labelOnly="1" outline="0" fieldPosition="0">
        <references count="1">
          <reference field="4294967294" count="5">
            <x v="0"/>
            <x v="1"/>
            <x v="2"/>
            <x v="3"/>
            <x v="4"/>
          </reference>
        </references>
      </pivotArea>
    </format>
    <format dxfId="345">
      <pivotArea field="0" type="button" dataOnly="0" labelOnly="1" outline="0" axis="axisRow" fieldPosition="0"/>
    </format>
    <format dxfId="344">
      <pivotArea field="1" type="button" dataOnly="0" labelOnly="1" outline="0" axis="axisRow" fieldPosition="1"/>
    </format>
    <format dxfId="343">
      <pivotArea dataOnly="0" labelOnly="1" outline="0" fieldPosition="0">
        <references count="1">
          <reference field="4294967294" count="5">
            <x v="0"/>
            <x v="1"/>
            <x v="2"/>
            <x v="3"/>
            <x v="4"/>
          </reference>
        </references>
      </pivotArea>
    </format>
    <format dxfId="342">
      <pivotArea type="all" dataOnly="0" outline="0" fieldPosition="0"/>
    </format>
    <format dxfId="341">
      <pivotArea outline="0" collapsedLevelsAreSubtotals="1" fieldPosition="0"/>
    </format>
    <format dxfId="340">
      <pivotArea field="0" type="button" dataOnly="0" labelOnly="1" outline="0" axis="axisRow" fieldPosition="0"/>
    </format>
    <format dxfId="339">
      <pivotArea field="1" type="button" dataOnly="0" labelOnly="1" outline="0" axis="axisRow" fieldPosition="1"/>
    </format>
    <format dxfId="338">
      <pivotArea dataOnly="0" labelOnly="1" outline="0" fieldPosition="0">
        <references count="1">
          <reference field="0" count="0"/>
        </references>
      </pivotArea>
    </format>
    <format dxfId="337">
      <pivotArea dataOnly="0" labelOnly="1" grandRow="1" outline="0" fieldPosition="0"/>
    </format>
    <format dxfId="336">
      <pivotArea dataOnly="0" labelOnly="1" outline="0" fieldPosition="0">
        <references count="1">
          <reference field="4294967294" count="5">
            <x v="0"/>
            <x v="1"/>
            <x v="2"/>
            <x v="3"/>
            <x v="4"/>
          </reference>
        </references>
      </pivotArea>
    </format>
    <format dxfId="335">
      <pivotArea type="all" dataOnly="0" outline="0" fieldPosition="0"/>
    </format>
    <format dxfId="334">
      <pivotArea outline="0" collapsedLevelsAreSubtotals="1" fieldPosition="0"/>
    </format>
    <format dxfId="333">
      <pivotArea field="0" type="button" dataOnly="0" labelOnly="1" outline="0" axis="axisRow" fieldPosition="0"/>
    </format>
    <format dxfId="332">
      <pivotArea field="1" type="button" dataOnly="0" labelOnly="1" outline="0" axis="axisRow" fieldPosition="1"/>
    </format>
    <format dxfId="331">
      <pivotArea dataOnly="0" labelOnly="1" outline="0" fieldPosition="0">
        <references count="1">
          <reference field="0" count="0"/>
        </references>
      </pivotArea>
    </format>
    <format dxfId="330">
      <pivotArea dataOnly="0" labelOnly="1" grandRow="1" outline="0" fieldPosition="0"/>
    </format>
    <format dxfId="329">
      <pivotArea dataOnly="0" labelOnly="1" outline="0" fieldPosition="0">
        <references count="1">
          <reference field="4294967294" count="5">
            <x v="0"/>
            <x v="1"/>
            <x v="2"/>
            <x v="3"/>
            <x v="4"/>
          </reference>
        </references>
      </pivotArea>
    </format>
    <format dxfId="328">
      <pivotArea type="all" dataOnly="0" outline="0" fieldPosition="0"/>
    </format>
    <format dxfId="327">
      <pivotArea outline="0" collapsedLevelsAreSubtotals="1" fieldPosition="0"/>
    </format>
    <format dxfId="326">
      <pivotArea dataOnly="0" labelOnly="1" outline="0" fieldPosition="0">
        <references count="1">
          <reference field="0" count="0"/>
        </references>
      </pivotArea>
    </format>
    <format dxfId="325">
      <pivotArea dataOnly="0" labelOnly="1" grandRow="1" outline="0" fieldPosition="0"/>
    </format>
    <format dxfId="324">
      <pivotArea dataOnly="0" labelOnly="1" outline="0" fieldPosition="0">
        <references count="1">
          <reference field="4294967294" count="5">
            <x v="0"/>
            <x v="1"/>
            <x v="2"/>
            <x v="3"/>
            <x v="4"/>
          </reference>
        </references>
      </pivotArea>
    </format>
    <format dxfId="323">
      <pivotArea field="0" type="button" dataOnly="0" labelOnly="1" outline="0" axis="axisRow" fieldPosition="0"/>
    </format>
    <format dxfId="322">
      <pivotArea field="1" type="button" dataOnly="0" labelOnly="1" outline="0" axis="axisRow" fieldPosition="1"/>
    </format>
    <format dxfId="321">
      <pivotArea dataOnly="0" labelOnly="1" outline="0" fieldPosition="0">
        <references count="1">
          <reference field="4294967294" count="1">
            <x v="1"/>
          </reference>
        </references>
      </pivotArea>
    </format>
    <format dxfId="320">
      <pivotArea dataOnly="0" labelOnly="1" outline="0" fieldPosition="0">
        <references count="1">
          <reference field="4294967294" count="1">
            <x v="2"/>
          </reference>
        </references>
      </pivotArea>
    </format>
    <format dxfId="319">
      <pivotArea dataOnly="0" labelOnly="1" outline="0" fieldPosition="0">
        <references count="1">
          <reference field="4294967294" count="1">
            <x v="3"/>
          </reference>
        </references>
      </pivotArea>
    </format>
    <format dxfId="318">
      <pivotArea dataOnly="0" labelOnly="1" outline="0" fieldPosition="0">
        <references count="1">
          <reference field="4294967294" count="1">
            <x v="4"/>
          </reference>
        </references>
      </pivotArea>
    </format>
    <format dxfId="317">
      <pivotArea dataOnly="0" labelOnly="1" outline="0" fieldPosition="0">
        <references count="1">
          <reference field="4294967294" count="1">
            <x v="0"/>
          </reference>
        </references>
      </pivotArea>
    </format>
    <format dxfId="316">
      <pivotArea field="0" type="button" dataOnly="0" labelOnly="1" outline="0" axis="axisRow" fieldPosition="0"/>
    </format>
    <format dxfId="315">
      <pivotArea field="1" type="button" dataOnly="0" labelOnly="1" outline="0" axis="axisRow" fieldPosition="1"/>
    </format>
    <format dxfId="314">
      <pivotArea dataOnly="0" labelOnly="1" outline="0" fieldPosition="0">
        <references count="1">
          <reference field="4294967294" count="5">
            <x v="0"/>
            <x v="1"/>
            <x v="2"/>
            <x v="3"/>
            <x v="4"/>
          </reference>
        </references>
      </pivotArea>
    </format>
    <format dxfId="313">
      <pivotArea outline="0" collapsedLevelsAreSubtotals="1" fieldPosition="0"/>
    </format>
    <format dxfId="312">
      <pivotArea dataOnly="0" labelOnly="1" outline="0" fieldPosition="0">
        <references count="1">
          <reference field="0" count="0"/>
        </references>
      </pivotArea>
    </format>
    <format dxfId="311">
      <pivotArea dataOnly="0" labelOnly="1" grandRow="1" outline="0" fieldPosition="0"/>
    </format>
    <format dxfId="310">
      <pivotArea outline="0" collapsedLevelsAreSubtotals="1" fieldPosition="0"/>
    </format>
    <format dxfId="309">
      <pivotArea dataOnly="0" labelOnly="1" outline="0" fieldPosition="0">
        <references count="1">
          <reference field="0" count="0"/>
        </references>
      </pivotArea>
    </format>
    <format dxfId="308">
      <pivotArea dataOnly="0" labelOnly="1" grandRow="1" outline="0" fieldPosition="0"/>
    </format>
    <format dxfId="307">
      <pivotArea field="0" type="button" dataOnly="0" labelOnly="1" outline="0" axis="axisRow" fieldPosition="0"/>
    </format>
    <format dxfId="306">
      <pivotArea field="1" type="button" dataOnly="0" labelOnly="1" outline="0" axis="axisRow" fieldPosition="1"/>
    </format>
    <format dxfId="305">
      <pivotArea dataOnly="0" labelOnly="1" outline="0" fieldPosition="0">
        <references count="1">
          <reference field="4294967294" count="5">
            <x v="0"/>
            <x v="1"/>
            <x v="2"/>
            <x v="3"/>
            <x v="4"/>
          </reference>
        </references>
      </pivotArea>
    </format>
    <format dxfId="304">
      <pivotArea type="all" dataOnly="0" outline="0" fieldPosition="0"/>
    </format>
    <format dxfId="303">
      <pivotArea outline="0" collapsedLevelsAreSubtotals="1" fieldPosition="0"/>
    </format>
    <format dxfId="302">
      <pivotArea field="0" type="button" dataOnly="0" labelOnly="1" outline="0" axis="axisRow" fieldPosition="0"/>
    </format>
    <format dxfId="301">
      <pivotArea field="1" type="button" dataOnly="0" labelOnly="1" outline="0" axis="axisRow" fieldPosition="1"/>
    </format>
    <format dxfId="300">
      <pivotArea dataOnly="0" labelOnly="1" outline="0" fieldPosition="0">
        <references count="1">
          <reference field="0" count="0"/>
        </references>
      </pivotArea>
    </format>
    <format dxfId="299">
      <pivotArea dataOnly="0" labelOnly="1" grandRow="1" outline="0" fieldPosition="0"/>
    </format>
    <format dxfId="298">
      <pivotArea dataOnly="0" labelOnly="1" outline="0" fieldPosition="0">
        <references count="1">
          <reference field="4294967294" count="5">
            <x v="0"/>
            <x v="1"/>
            <x v="2"/>
            <x v="3"/>
            <x v="4"/>
          </reference>
        </references>
      </pivotArea>
    </format>
    <format dxfId="297">
      <pivotArea type="all" dataOnly="0" outline="0" fieldPosition="0"/>
    </format>
    <format dxfId="296">
      <pivotArea outline="0" collapsedLevelsAreSubtotals="1" fieldPosition="0"/>
    </format>
    <format dxfId="295">
      <pivotArea field="0" type="button" dataOnly="0" labelOnly="1" outline="0" axis="axisRow" fieldPosition="0"/>
    </format>
    <format dxfId="294">
      <pivotArea field="1" type="button" dataOnly="0" labelOnly="1" outline="0" axis="axisRow" fieldPosition="1"/>
    </format>
    <format dxfId="293">
      <pivotArea dataOnly="0" labelOnly="1" outline="0" fieldPosition="0">
        <references count="1">
          <reference field="0" count="0"/>
        </references>
      </pivotArea>
    </format>
    <format dxfId="292">
      <pivotArea dataOnly="0" labelOnly="1" grandRow="1" outline="0" fieldPosition="0"/>
    </format>
    <format dxfId="291">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B53378C-9957-4971-8CCB-A724A886DBB7}" name="PivotTable3" cacheId="1"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location ref="E7:G11" firstHeaderRow="0" firstDataRow="1" firstDataCol="1"/>
  <pivotFields count="16">
    <pivotField dataField="1" compact="0" showAll="0"/>
    <pivotField axis="axisRow" compact="0" showAll="0">
      <items count="4">
        <item x="0"/>
        <item x="2"/>
        <item x="1"/>
        <item t="default"/>
      </items>
    </pivotField>
    <pivotField compact="0" showAll="0"/>
    <pivotField compact="0" showAll="0"/>
    <pivotField compact="0" numFmtId="3" showAll="0"/>
    <pivotField compact="0" numFmtId="3" showAll="0"/>
    <pivotField compact="0" numFmtId="3" showAll="0"/>
    <pivotField compact="0" numFmtId="3" showAll="0"/>
    <pivotField compact="0" numFmtId="4" showAll="0"/>
    <pivotField compact="0" numFmtId="4" showAll="0"/>
    <pivotField compact="0" numFmtId="4" showAll="0"/>
    <pivotField compact="0" numFmtId="3" showAll="0"/>
    <pivotField compact="0" numFmtId="3" showAll="0"/>
    <pivotField compact="0" numFmtId="165" showAll="0"/>
    <pivotField compact="0" numFmtId="4" showAll="0"/>
    <pivotField dataField="1" compact="0" numFmtId="4" showAll="0"/>
  </pivotFields>
  <rowFields count="1">
    <field x="1"/>
  </rowFields>
  <rowItems count="4">
    <i>
      <x/>
    </i>
    <i>
      <x v="1"/>
    </i>
    <i>
      <x v="2"/>
    </i>
    <i t="grand">
      <x/>
    </i>
  </rowItems>
  <colFields count="1">
    <field x="-2"/>
  </colFields>
  <colItems count="2">
    <i>
      <x/>
    </i>
    <i i="1">
      <x v="1"/>
    </i>
  </colItems>
  <dataFields count="2">
    <dataField name="إجمالي الربح من الجهة" fld="15" baseField="1" baseItem="0"/>
    <dataField name="عدد المشاريع" fld="0" subtotal="count" baseField="1" baseItem="0"/>
  </dataFields>
  <formats count="70">
    <format dxfId="470">
      <pivotArea field="1" type="button" dataOnly="0" labelOnly="1" outline="0" axis="axisRow" fieldPosition="0"/>
    </format>
    <format dxfId="469">
      <pivotArea dataOnly="0" labelOnly="1" outline="0" fieldPosition="0">
        <references count="1">
          <reference field="4294967294" count="2">
            <x v="0"/>
            <x v="1"/>
          </reference>
        </references>
      </pivotArea>
    </format>
    <format dxfId="468">
      <pivotArea type="all" dataOnly="0" outline="0" fieldPosition="0"/>
    </format>
    <format dxfId="467">
      <pivotArea outline="0" collapsedLevelsAreSubtotals="1" fieldPosition="0"/>
    </format>
    <format dxfId="466">
      <pivotArea field="1" type="button" dataOnly="0" labelOnly="1" outline="0" axis="axisRow" fieldPosition="0"/>
    </format>
    <format dxfId="465">
      <pivotArea dataOnly="0" labelOnly="1" outline="0" fieldPosition="0">
        <references count="1">
          <reference field="1" count="0"/>
        </references>
      </pivotArea>
    </format>
    <format dxfId="464">
      <pivotArea dataOnly="0" labelOnly="1" grandRow="1" outline="0" fieldPosition="0"/>
    </format>
    <format dxfId="463">
      <pivotArea dataOnly="0" labelOnly="1" outline="0" fieldPosition="0">
        <references count="1">
          <reference field="4294967294" count="2">
            <x v="0"/>
            <x v="1"/>
          </reference>
        </references>
      </pivotArea>
    </format>
    <format dxfId="462">
      <pivotArea type="all" dataOnly="0" outline="0" fieldPosition="0"/>
    </format>
    <format dxfId="461">
      <pivotArea outline="0" collapsedLevelsAreSubtotals="1" fieldPosition="0"/>
    </format>
    <format dxfId="460">
      <pivotArea field="1" type="button" dataOnly="0" labelOnly="1" outline="0" axis="axisRow" fieldPosition="0"/>
    </format>
    <format dxfId="459">
      <pivotArea dataOnly="0" labelOnly="1" outline="0" fieldPosition="0">
        <references count="1">
          <reference field="1" count="0"/>
        </references>
      </pivotArea>
    </format>
    <format dxfId="458">
      <pivotArea dataOnly="0" labelOnly="1" grandRow="1" outline="0" fieldPosition="0"/>
    </format>
    <format dxfId="457">
      <pivotArea dataOnly="0" labelOnly="1" outline="0" fieldPosition="0">
        <references count="1">
          <reference field="4294967294" count="2">
            <x v="0"/>
            <x v="1"/>
          </reference>
        </references>
      </pivotArea>
    </format>
    <format dxfId="456">
      <pivotArea type="all" dataOnly="0" outline="0" fieldPosition="0"/>
    </format>
    <format dxfId="455">
      <pivotArea outline="0" collapsedLevelsAreSubtotals="1" fieldPosition="0"/>
    </format>
    <format dxfId="454">
      <pivotArea field="1" type="button" dataOnly="0" labelOnly="1" outline="0" axis="axisRow" fieldPosition="0"/>
    </format>
    <format dxfId="453">
      <pivotArea dataOnly="0" labelOnly="1" outline="0" fieldPosition="0">
        <references count="1">
          <reference field="1" count="0"/>
        </references>
      </pivotArea>
    </format>
    <format dxfId="452">
      <pivotArea dataOnly="0" labelOnly="1" grandRow="1" outline="0" fieldPosition="0"/>
    </format>
    <format dxfId="451">
      <pivotArea dataOnly="0" labelOnly="1" outline="0" fieldPosition="0">
        <references count="1">
          <reference field="4294967294" count="2">
            <x v="0"/>
            <x v="1"/>
          </reference>
        </references>
      </pivotArea>
    </format>
    <format dxfId="450">
      <pivotArea type="all" dataOnly="0" outline="0" fieldPosition="0"/>
    </format>
    <format dxfId="449">
      <pivotArea outline="0" collapsedLevelsAreSubtotals="1" fieldPosition="0"/>
    </format>
    <format dxfId="448">
      <pivotArea field="1" type="button" dataOnly="0" labelOnly="1" outline="0" axis="axisRow" fieldPosition="0"/>
    </format>
    <format dxfId="447">
      <pivotArea dataOnly="0" labelOnly="1" outline="0" fieldPosition="0">
        <references count="1">
          <reference field="1" count="0"/>
        </references>
      </pivotArea>
    </format>
    <format dxfId="446">
      <pivotArea dataOnly="0" labelOnly="1" grandRow="1" outline="0" fieldPosition="0"/>
    </format>
    <format dxfId="445">
      <pivotArea dataOnly="0" labelOnly="1" outline="0" fieldPosition="0">
        <references count="1">
          <reference field="4294967294" count="2">
            <x v="0"/>
            <x v="1"/>
          </reference>
        </references>
      </pivotArea>
    </format>
    <format dxfId="444">
      <pivotArea type="all" dataOnly="0" outline="0" fieldPosition="0"/>
    </format>
    <format dxfId="443">
      <pivotArea field="1" type="button" dataOnly="0" labelOnly="1" outline="0" axis="axisRow" fieldPosition="0"/>
    </format>
    <format dxfId="442">
      <pivotArea dataOnly="0" labelOnly="1" outline="0" fieldPosition="0">
        <references count="1">
          <reference field="4294967294" count="2">
            <x v="0"/>
            <x v="1"/>
          </reference>
        </references>
      </pivotArea>
    </format>
    <format dxfId="441">
      <pivotArea type="all" dataOnly="0" outline="0" fieldPosition="0"/>
    </format>
    <format dxfId="440">
      <pivotArea outline="0" collapsedLevelsAreSubtotals="1" fieldPosition="0"/>
    </format>
    <format dxfId="439">
      <pivotArea field="1" type="button" dataOnly="0" labelOnly="1" outline="0" axis="axisRow" fieldPosition="0"/>
    </format>
    <format dxfId="438">
      <pivotArea dataOnly="0" labelOnly="1" outline="0" fieldPosition="0">
        <references count="1">
          <reference field="1" count="0"/>
        </references>
      </pivotArea>
    </format>
    <format dxfId="437">
      <pivotArea dataOnly="0" labelOnly="1" grandRow="1" outline="0" fieldPosition="0"/>
    </format>
    <format dxfId="436">
      <pivotArea dataOnly="0" labelOnly="1" outline="0" fieldPosition="0">
        <references count="1">
          <reference field="4294967294" count="2">
            <x v="0"/>
            <x v="1"/>
          </reference>
        </references>
      </pivotArea>
    </format>
    <format dxfId="435">
      <pivotArea type="all" dataOnly="0" outline="0" fieldPosition="0"/>
    </format>
    <format dxfId="434">
      <pivotArea field="1" type="button" dataOnly="0" labelOnly="1" outline="0" axis="axisRow" fieldPosition="0"/>
    </format>
    <format dxfId="433">
      <pivotArea dataOnly="0" labelOnly="1" outline="0" fieldPosition="0">
        <references count="1">
          <reference field="4294967294" count="2">
            <x v="0"/>
            <x v="1"/>
          </reference>
        </references>
      </pivotArea>
    </format>
    <format dxfId="432">
      <pivotArea field="1" type="button" dataOnly="0" labelOnly="1" outline="0" axis="axisRow" fieldPosition="0"/>
    </format>
    <format dxfId="431">
      <pivotArea type="all" dataOnly="0" outline="0" fieldPosition="0"/>
    </format>
    <format dxfId="430">
      <pivotArea field="1" type="button" dataOnly="0" labelOnly="1" outline="0" axis="axisRow" fieldPosition="0"/>
    </format>
    <format dxfId="429">
      <pivotArea dataOnly="0" labelOnly="1" outline="0" fieldPosition="0">
        <references count="1">
          <reference field="4294967294" count="2">
            <x v="0"/>
            <x v="1"/>
          </reference>
        </references>
      </pivotArea>
    </format>
    <format dxfId="428">
      <pivotArea type="all" dataOnly="0" outline="0" fieldPosition="0"/>
    </format>
    <format dxfId="427">
      <pivotArea outline="0" collapsedLevelsAreSubtotals="1" fieldPosition="0"/>
    </format>
    <format dxfId="426">
      <pivotArea field="1" type="button" dataOnly="0" labelOnly="1" outline="0" axis="axisRow" fieldPosition="0"/>
    </format>
    <format dxfId="425">
      <pivotArea dataOnly="0" labelOnly="1" outline="0" fieldPosition="0">
        <references count="1">
          <reference field="1" count="0"/>
        </references>
      </pivotArea>
    </format>
    <format dxfId="424">
      <pivotArea dataOnly="0" labelOnly="1" grandRow="1" outline="0" fieldPosition="0"/>
    </format>
    <format dxfId="423">
      <pivotArea dataOnly="0" labelOnly="1" outline="0" fieldPosition="0">
        <references count="1">
          <reference field="4294967294" count="2">
            <x v="0"/>
            <x v="1"/>
          </reference>
        </references>
      </pivotArea>
    </format>
    <format dxfId="422">
      <pivotArea type="all" dataOnly="0" outline="0" fieldPosition="0"/>
    </format>
    <format dxfId="421">
      <pivotArea field="1" type="button" dataOnly="0" labelOnly="1" outline="0" axis="axisRow" fieldPosition="0"/>
    </format>
    <format dxfId="420">
      <pivotArea dataOnly="0" labelOnly="1" outline="0" fieldPosition="0">
        <references count="1">
          <reference field="4294967294" count="2">
            <x v="0"/>
            <x v="1"/>
          </reference>
        </references>
      </pivotArea>
    </format>
    <format dxfId="419">
      <pivotArea type="all" dataOnly="0" outline="0" fieldPosition="0"/>
    </format>
    <format dxfId="418">
      <pivotArea field="1" type="button" dataOnly="0" labelOnly="1" outline="0" axis="axisRow" fieldPosition="0"/>
    </format>
    <format dxfId="417">
      <pivotArea dataOnly="0" labelOnly="1" outline="0" fieldPosition="0">
        <references count="1">
          <reference field="4294967294" count="2">
            <x v="0"/>
            <x v="1"/>
          </reference>
        </references>
      </pivotArea>
    </format>
    <format dxfId="416">
      <pivotArea type="all" dataOnly="0" outline="0" fieldPosition="0"/>
    </format>
    <format dxfId="415">
      <pivotArea field="1" type="button" dataOnly="0" labelOnly="1" outline="0" axis="axisRow" fieldPosition="0"/>
    </format>
    <format dxfId="414">
      <pivotArea dataOnly="0" labelOnly="1" outline="0" fieldPosition="0">
        <references count="1">
          <reference field="4294967294" count="2">
            <x v="0"/>
            <x v="1"/>
          </reference>
        </references>
      </pivotArea>
    </format>
    <format dxfId="413">
      <pivotArea field="1" type="button" dataOnly="0" labelOnly="1" outline="0" axis="axisRow" fieldPosition="0"/>
    </format>
    <format dxfId="412">
      <pivotArea dataOnly="0" labelOnly="1" outline="0" fieldPosition="0">
        <references count="1">
          <reference field="4294967294" count="2">
            <x v="0"/>
            <x v="1"/>
          </reference>
        </references>
      </pivotArea>
    </format>
    <format dxfId="411">
      <pivotArea field="1" type="button" dataOnly="0" labelOnly="1" outline="0" axis="axisRow" fieldPosition="0"/>
    </format>
    <format dxfId="410">
      <pivotArea dataOnly="0" labelOnly="1" outline="0" fieldPosition="0">
        <references count="1">
          <reference field="4294967294" count="2">
            <x v="0"/>
            <x v="1"/>
          </reference>
        </references>
      </pivotArea>
    </format>
    <format dxfId="409">
      <pivotArea outline="0" collapsedLevelsAreSubtotals="1" fieldPosition="0"/>
    </format>
    <format dxfId="408">
      <pivotArea dataOnly="0" labelOnly="1" outline="0" fieldPosition="0">
        <references count="1">
          <reference field="1" count="0"/>
        </references>
      </pivotArea>
    </format>
    <format dxfId="407">
      <pivotArea dataOnly="0" labelOnly="1" grandRow="1" outline="0" fieldPosition="0"/>
    </format>
    <format dxfId="406">
      <pivotArea type="all" dataOnly="0" outline="0" fieldPosition="0"/>
    </format>
    <format dxfId="405">
      <pivotArea outline="0" collapsedLevelsAreSubtotals="1" fieldPosition="0"/>
    </format>
    <format dxfId="404">
      <pivotArea field="1" type="button" dataOnly="0" labelOnly="1" outline="0" axis="axisRow" fieldPosition="0"/>
    </format>
    <format dxfId="403">
      <pivotArea dataOnly="0" labelOnly="1" outline="0" fieldPosition="0">
        <references count="1">
          <reference field="1" count="0"/>
        </references>
      </pivotArea>
    </format>
    <format dxfId="402">
      <pivotArea dataOnly="0" labelOnly="1" grandRow="1" outline="0" fieldPosition="0"/>
    </format>
    <format dxfId="401">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تاريخ_بداية_التقديم__Year" xr10:uid="{B2FB5FAC-4B41-4D4D-96CC-ABE13C602A8C}" sourceName="[Table1].[تاريخ بداية التقديم (Year)]">
  <pivotTables>
    <pivotTable tabId="8" name="PivotTable9"/>
    <pivotTable tabId="7" name="PivotTable8"/>
    <pivotTable tabId="3" name="PivotTable1"/>
    <pivotTable tabId="5" name="PivotTable2"/>
    <pivotTable tabId="5" name="PivotTable3"/>
    <pivotTable tabId="5" name="PivotTable4"/>
    <pivotTable tabId="6" name="PivotTable5"/>
    <pivotTable tabId="9" name="PivotTable12"/>
    <pivotTable tabId="6" name="PivotTable1"/>
  </pivotTables>
  <data>
    <olap pivotCacheId="776908479">
      <levels count="2">
        <level uniqueName="[Table1].[تاريخ بداية التقديم (Year)].[(All)]" sourceCaption="(All)" count="0"/>
        <level uniqueName="[Table1].[تاريخ بداية التقديم (Year)].[تاريخ بداية التقديم (Year)]" sourceCaption="تاريخ بداية التقديم (Year)" count="2">
          <ranges>
            <range startItem="0">
              <i n="[Table1].[تاريخ بداية التقديم (Year)].&amp;[2024]" c="2024"/>
              <i n="[Table1].[تاريخ بداية التقديم (Year)].&amp;[2025]" c="2025"/>
            </range>
          </ranges>
        </level>
      </levels>
      <selections count="1">
        <selection n="[Table1].[تاريخ بداية التقديم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سم_المشروع" xr10:uid="{FB6E32BC-1B66-4763-B8F7-4165B65A1DC0}" sourceName="[Table1].[اسم المشروع]">
  <pivotTables>
    <pivotTable tabId="5" name="PivotTable2"/>
    <pivotTable tabId="8" name="PivotTable9"/>
    <pivotTable tabId="7" name="PivotTable8"/>
    <pivotTable tabId="3" name="PivotTable1"/>
    <pivotTable tabId="5" name="PivotTable3"/>
    <pivotTable tabId="5" name="PivotTable4"/>
    <pivotTable tabId="6" name="PivotTable5"/>
    <pivotTable tabId="9" name="PivotTable12"/>
    <pivotTable tabId="6" name="PivotTable1"/>
  </pivotTables>
  <data>
    <olap pivotCacheId="776908479">
      <levels count="2">
        <level uniqueName="[Table1].[اسم المشروع].[(All)]" sourceCaption="(All)" count="0"/>
        <level uniqueName="[Table1].[اسم المشروع].[اسم المشروع]" sourceCaption="اسم المشروع" count="14">
          <ranges>
            <range startItem="0">
              <i n="[Table1].[اسم المشروع].&amp;[حفل تخريج الدفعة 65]" c="حفل تخريج الدفعة 65"/>
              <i n="[Table1].[اسم المشروع].&amp;[حفل تخريج الدفعة 67]" c="حفل تخريج الدفعة 67"/>
              <i n="[Table1].[اسم المشروع].&amp;[حفل تخريج الدفعة 68]" c="حفل تخريج الدفعة 68"/>
              <i n="[Table1].[اسم المشروع].&amp;[حفل تخريج الدفعة 69]" c="حفل تخريج الدفعة 69"/>
              <i n="[Table1].[اسم المشروع].&amp;[حفل تخريج الدفعة 70]" c="حفل تخريج الدفعة 70"/>
              <i n="[Table1].[اسم المشروع].&amp;[حفل تخريج الدفعة 71]" c="حفل تخريج الدفعة 71"/>
              <i n="[Table1].[اسم المشروع].&amp;[حفل تخريج الدفعة 72]" c="حفل تخريج الدفعة 72"/>
              <i n="[Table1].[اسم المشروع].&amp;[حفل تخريج الدفعة 73]" c="حفل تخريج الدفعة 73"/>
              <i n="[Table1].[اسم المشروع].&amp;[حفل تخريج الدفعة 74]" c="حفل تخريج الدفعة 74"/>
              <i n="[Table1].[اسم المشروع].&amp;[حفل تخريج الدفعة 75]" c="حفل تخريج الدفعة 75"/>
              <i n="[Table1].[اسم المشروع].&amp;[حفل تخريج الدفعة 76]" c="حفل تخريج الدفعة 76"/>
              <i n="[Table1].[اسم المشروع].&amp;[حفل تخريج الدفعة 77]" c="حفل تخريج الدفعة 77"/>
              <i n="[Table1].[اسم المشروع].&amp;[حفل تخريج الدفعة 78]" c="حفل تخريج الدفعة 78"/>
              <i n="[Table1].[اسم المشروع].&amp;[حفل تخريج الدفعة 66]" c="حفل تخريج الدفعة 66" nd="1"/>
            </range>
          </ranges>
        </level>
      </levels>
      <selections count="1">
        <selection n="[Table1].[اسم المشروع].[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جهة_الحكومية" xr10:uid="{2E4157FF-DA71-4C4B-8991-3E29867EFF84}" sourceName="[Table1].[الجهة الحكومية]">
  <pivotTables>
    <pivotTable tabId="8" name="PivotTable9"/>
    <pivotTable tabId="7" name="PivotTable8"/>
    <pivotTable tabId="3" name="PivotTable1"/>
    <pivotTable tabId="5" name="PivotTable2"/>
    <pivotTable tabId="5" name="PivotTable3"/>
    <pivotTable tabId="5" name="PivotTable4"/>
    <pivotTable tabId="6" name="PivotTable5"/>
    <pivotTable tabId="9" name="PivotTable12"/>
    <pivotTable tabId="6" name="PivotTable1"/>
  </pivotTables>
  <data>
    <olap pivotCacheId="776908479">
      <levels count="2">
        <level uniqueName="[Table1].[الجهة الحكومية].[(All)]" sourceCaption="(All)" count="0"/>
        <level uniqueName="[Table1].[الجهة الحكومية].[الجهة الحكومية]" sourceCaption="الجهة الحكومية" count="3">
          <ranges>
            <range startItem="0">
              <i n="[Table1].[الجهة الحكومية].&amp;[وزارة التعليم]" c="وزارة التعليم"/>
              <i n="[Table1].[الجهة الحكومية].&amp;[وزارة الشباب]" c="وزارة الشباب"/>
              <i n="[Table1].[الجهة الحكومية].&amp;[وزارة الصحة]" c="وزارة الصحة"/>
            </range>
          </ranges>
        </level>
      </levels>
      <selections count="1">
        <selection n="[Table1].[الجهة الحكومية].[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تاريخ_بداية_التقديم__Month" xr10:uid="{F993CFD0-327C-458E-BA18-69B9F39F555C}" sourceName="[Table1].[تاريخ بداية التقديم (Month)]">
  <pivotTables>
    <pivotTable tabId="8" name="PivotTable9"/>
    <pivotTable tabId="7" name="PivotTable8"/>
    <pivotTable tabId="3" name="PivotTable1"/>
    <pivotTable tabId="5" name="PivotTable2"/>
    <pivotTable tabId="5" name="PivotTable3"/>
    <pivotTable tabId="5" name="PivotTable4"/>
    <pivotTable tabId="6" name="PivotTable5"/>
    <pivotTable tabId="9" name="PivotTable12"/>
    <pivotTable tabId="6" name="PivotTable1"/>
  </pivotTables>
  <data>
    <olap pivotCacheId="776908479">
      <levels count="2">
        <level uniqueName="[Table1].[تاريخ بداية التقديم (Month)].[(All)]" sourceCaption="(All)" count="0"/>
        <level uniqueName="[Table1].[تاريخ بداية التقديم (Month)].[تاريخ بداية التقديم (Month)]" sourceCaption="تاريخ بداية التقديم (Month)" count="7">
          <ranges>
            <range startItem="0">
              <i n="[Table1].[تاريخ بداية التقديم (Month)].&amp;[Jan]" c="Jan"/>
              <i n="[Table1].[تاريخ بداية التقديم (Month)].&amp;[May]" c="May"/>
              <i n="[Table1].[تاريخ بداية التقديم (Month)].&amp;[Aug]" c="Aug"/>
              <i n="[Table1].[تاريخ بداية التقديم (Month)].&amp;[Sep]" c="Sep"/>
              <i n="[Table1].[تاريخ بداية التقديم (Month)].&amp;[Oct]" c="Oct"/>
              <i n="[Table1].[تاريخ بداية التقديم (Month)].&amp;[Nov]" c="Nov"/>
              <i n="[Table1].[تاريخ بداية التقديم (Month)].&amp;[Dec]" c="Dec"/>
            </range>
          </ranges>
        </level>
      </levels>
      <selections count="6">
        <selection n="[Table1].[تاريخ بداية التقديم (Month)].&amp;[Aug]"/>
        <selection n="[Table1].[تاريخ بداية التقديم (Month)].&amp;[Dec]"/>
        <selection n="[Table1].[تاريخ بداية التقديم (Month)].&amp;[Jan]"/>
        <selection n="[Table1].[تاريخ بداية التقديم (Month)].&amp;[May]"/>
        <selection n="[Table1].[تاريخ بداية التقديم (Month)].&amp;[Oct]"/>
        <selection n="[Table1].[تاريخ بداية التقديم (Month)].&amp;[Sep]"/>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تاريخ بداية التقديم (Year)" xr10:uid="{C531DE3B-17F0-4FFA-ABFF-2E0D0A3DBB25}" cache="Slicer_تاريخ_بداية_التقديم__Year" caption="تاريخ بداية التقديم (Year)" level="1" style="SlicerStyleOther1 2 2" rowHeight="548640"/>
  <slicer name="اسم المشروع" xr10:uid="{C83EEF0A-C839-44A1-8F14-C9BF3F7F7C63}" cache="Slicer_اسم_المشروع" caption="اسم المشروع" level="1" style="SlicerStyleOther1 2 2" rowHeight="548640"/>
  <slicer name="الجهة الحكومية" xr10:uid="{2EADFDDD-EA21-414B-B5FA-91E7AF161AB1}" cache="Slicer_الجهة_الحكومية" caption="الجهة الحكومية" level="1" style="SlicerStyleOther1 2 2" rowHeight="548640"/>
  <slicer name="تاريخ بداية التقديم (Month)" xr10:uid="{2EEC5EC6-2CF5-4521-B0B3-DF8187D2F3C1}" cache="Slicer_تاريخ_بداية_التقديم__Month" caption="تاريخ بداية التقديم (Month)" startItem="2" level="1" style="SlicerStyleOther1 2 2" rowHeight="54864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80C1889-9A57-49EE-837B-619AE4A58E9C}" name="Table1" displayName="Table1" ref="A1:O15" totalsRowShown="0" headerRowDxfId="507" dataDxfId="506" tableBorderDxfId="505">
  <autoFilter ref="A1:O15" xr:uid="{A80C1889-9A57-49EE-837B-619AE4A58E9C}">
    <filterColumn colId="1">
      <filters>
        <filter val="وزارة التعليم"/>
      </filters>
    </filterColumn>
  </autoFilter>
  <tableColumns count="15">
    <tableColumn id="1" xr3:uid="{DFEEE1DB-ABFD-4323-92E7-870AD866C9B9}" name="اسم المشروع" dataDxfId="504"/>
    <tableColumn id="2" xr3:uid="{9C115FC8-F6EE-424F-A118-D38C5D69DB49}" name="الجهة الحكومية" dataDxfId="503"/>
    <tableColumn id="3" xr3:uid="{EC900AAB-F5DF-4F07-BB55-477A1AECDF02}" name="المنطقة" dataDxfId="502"/>
    <tableColumn id="4" xr3:uid="{034EF723-58F0-42B7-B76B-961EA3E8167F}" name="رقم المناقصة" dataDxfId="501"/>
    <tableColumn id="5" xr3:uid="{652E4B5E-B2DC-4D7C-80A1-DED10E9936D7}" name="تفاصيل المناقصة" dataDxfId="500"/>
    <tableColumn id="6" xr3:uid="{B2861A25-A70D-4B87-92C8-EC9F61FE4CA4}" name="تاريخ بداية التقديم" dataDxfId="499"/>
    <tableColumn id="14" xr3:uid="{F8B7EF30-9EF4-4898-8A7E-A858D4F87948}" name="شهر التقديم" dataDxfId="498">
      <calculatedColumnFormula>TEXT(Table1[[#This Row],[تاريخ بداية التقديم]],"mmm")</calculatedColumnFormula>
    </tableColumn>
    <tableColumn id="7" xr3:uid="{2DEAE712-7204-420C-8626-6CAA7F9D53E1}" name="تاريخ انتهاء التقديم" dataDxfId="497"/>
    <tableColumn id="10" xr3:uid="{0805EBB1-94F0-4A8A-90B3-586C047DCBCF}" name="قيمة الكراسة" dataDxfId="496"/>
    <tableColumn id="8" xr3:uid="{7727548B-D8A2-4D7E-B126-2B7311BC6F5B}" name="قيمة المشروع" dataDxfId="495"/>
    <tableColumn id="11" xr3:uid="{3A86ACBC-A4C6-46A7-9C38-8B878DA692C1}" name="حالة المشروع" dataDxfId="494"/>
    <tableColumn id="19" xr3:uid="{965D7229-534A-4A0D-9CBC-AF36B5F7B89F}" name="الفرق" dataDxfId="493">
      <calculatedColumnFormula>'تفاصيل المشروع'!$J2 - SUMIF('تفاصيل للجهات'!A:A, 'تفاصيل المشروع'!$A2, 'تفاصيل للجهات'!O:O)</calculatedColumnFormula>
    </tableColumn>
    <tableColumn id="9" xr3:uid="{F629EA96-D0B5-4A99-A443-413086388BA9}" name="نسبة الربحية المتوقعة" dataDxfId="492"/>
    <tableColumn id="12" xr3:uid="{6549D39C-A698-4F2A-8989-7A9B9B7D33A1}" name="قيمة الربح" dataDxfId="491">
      <calculatedColumnFormula>Table1[[#This Row],[نسبة الربحية المتوقعة]]*Table1[[#This Row],[قيمة المشروع]]</calculatedColumnFormula>
    </tableColumn>
    <tableColumn id="13" xr3:uid="{1CAC954E-0E57-4CEB-BC62-4528CF2D6D0A}" name="قيمة العمولات" dataDxfId="49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42AA74E-B052-47D7-BA46-AA79C4BC1D6A}" name="Table2" displayName="Table2" ref="A1:P16" totalsRowShown="0" headerRowDxfId="489" dataDxfId="488" tableBorderDxfId="487">
  <autoFilter ref="A1:P16" xr:uid="{742AA74E-B052-47D7-BA46-AA79C4BC1D6A}"/>
  <tableColumns count="16">
    <tableColumn id="1" xr3:uid="{1CE684E5-1943-4D5B-A022-2D9B4CA0F4C6}" name="اسم المشروع" dataDxfId="486"/>
    <tableColumn id="2" xr3:uid="{ED4FB633-603C-4C90-A81C-78EDE11E5D24}" name="الجهة الحكومية" dataDxfId="485"/>
    <tableColumn id="3" xr3:uid="{D0FC4A3A-0E5C-4667-AFBE-39D056D7A0CB}" name="المخرج" dataDxfId="484"/>
    <tableColumn id="4" xr3:uid="{500A9DDF-8BE4-4D06-8C1C-5C01D2E0477B}" name="الوحدة " dataDxfId="483"/>
    <tableColumn id="5" xr3:uid="{F0851E44-3996-40B1-903D-1128E9AB0E99}" name="تكلفة الحبة اللواحدة" dataDxfId="482"/>
    <tableColumn id="17" xr3:uid="{E015C7BA-DA67-4084-AAC4-F4CA9D728D44}" name="إجمالي التكاليف للحبة الواحدة" dataDxfId="481">
      <calculatedColumnFormula>Table2[[#This Row],[الكمية]]*Table2[[#This Row],[تكلفة الحبة اللواحدة]]</calculatedColumnFormula>
    </tableColumn>
    <tableColumn id="6" xr3:uid="{6F690068-7F86-4594-BA57-493C494C9080}" name="التكاليف  التشغيلية 20%" dataDxfId="480">
      <calculatedColumnFormula>E2*20%</calculatedColumnFormula>
    </tableColumn>
    <tableColumn id="7" xr3:uid="{648C8FD3-6578-4EF9-B3B1-56236874762D}" name="المخاطرة 10% ( تحسب تلقائيا )" dataDxfId="479">
      <calculatedColumnFormula>E2*10%</calculatedColumnFormula>
    </tableColumn>
    <tableColumn id="8" xr3:uid="{4F8F3FDF-E306-4A4C-BD7D-4FDFB4DF2860}" name="إجمالي التكاليف" dataDxfId="478">
      <calculatedColumnFormula>H2+G2+E2</calculatedColumnFormula>
    </tableColumn>
    <tableColumn id="9" xr3:uid="{12CCC9DB-C1CC-43A3-8A8E-459ED3352B47}" name="ضريبة المنتج الواحد" dataDxfId="477">
      <calculatedColumnFormula>I2*15%</calculatedColumnFormula>
    </tableColumn>
    <tableColumn id="10" xr3:uid="{04D321D9-617A-4831-B154-E86B74FE5EED}" name="الإجمالي للبيع" dataDxfId="476">
      <calculatedColumnFormula>J2+I2</calculatedColumnFormula>
    </tableColumn>
    <tableColumn id="11" xr3:uid="{E5078226-3DB6-4A1B-B1DF-8BD759293E61}" name="الكمية" dataDxfId="475"/>
    <tableColumn id="12" xr3:uid="{22B1CC44-F58C-4228-8E3F-58F429A0D6A9}" name="اجمالي بدون ضريبة" dataDxfId="474">
      <calculatedColumnFormula>I2*L2</calculatedColumnFormula>
    </tableColumn>
    <tableColumn id="13" xr3:uid="{48F23D30-4F6B-4B69-9896-74B0524FEC28}" name="ضريبة" dataDxfId="473">
      <calculatedColumnFormula>M2*15%</calculatedColumnFormula>
    </tableColumn>
    <tableColumn id="14" xr3:uid="{91ADBE39-D584-48CB-9C3D-545386F3D31F}" name="الإجمالي مع الضريبة" dataDxfId="472">
      <calculatedColumnFormula>SUM(M2:N2)</calculatedColumnFormula>
    </tableColumn>
    <tableColumn id="15" xr3:uid="{E62D5E68-0998-46B4-AF59-6D41543863AF}" name="اجمالي الربح" dataDxfId="471">
      <calculatedColumnFormula>M2-K2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rinterSettings" Target="../printerSettings/printerSettings2.bin"/><Relationship Id="rId5" Type="http://schemas.openxmlformats.org/officeDocument/2006/relationships/pivotTable" Target="../pivotTables/pivotTable15.xml"/><Relationship Id="rId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5"/>
  <sheetViews>
    <sheetView rightToLeft="1" workbookViewId="0">
      <selection activeCell="F21" sqref="F21"/>
    </sheetView>
  </sheetViews>
  <sheetFormatPr defaultRowHeight="14.4"/>
  <cols>
    <col min="1" max="1" width="16.44140625" bestFit="1" customWidth="1"/>
    <col min="2" max="2" width="19.33203125" customWidth="1"/>
    <col min="3" max="3" width="11.33203125" customWidth="1"/>
    <col min="4" max="4" width="16.6640625" customWidth="1"/>
    <col min="5" max="5" width="20.6640625" customWidth="1"/>
    <col min="6" max="7" width="22.44140625" customWidth="1"/>
    <col min="8" max="9" width="22.6640625" customWidth="1"/>
    <col min="10" max="12" width="17" customWidth="1"/>
    <col min="13" max="13" width="25.88671875" customWidth="1"/>
    <col min="14" max="14" width="16.5546875" bestFit="1" customWidth="1"/>
    <col min="15" max="15" width="21" bestFit="1" customWidth="1"/>
  </cols>
  <sheetData>
    <row r="1" spans="1:15" ht="21">
      <c r="A1" s="32" t="s">
        <v>0</v>
      </c>
      <c r="B1" s="32" t="s">
        <v>1</v>
      </c>
      <c r="C1" s="32" t="s">
        <v>2</v>
      </c>
      <c r="D1" s="32" t="s">
        <v>3</v>
      </c>
      <c r="E1" s="32" t="s">
        <v>4</v>
      </c>
      <c r="F1" s="33" t="s">
        <v>5</v>
      </c>
      <c r="G1" s="33" t="s">
        <v>87</v>
      </c>
      <c r="H1" s="33" t="s">
        <v>6</v>
      </c>
      <c r="I1" s="32" t="s">
        <v>89</v>
      </c>
      <c r="J1" s="32" t="s">
        <v>7</v>
      </c>
      <c r="K1" s="32" t="s">
        <v>90</v>
      </c>
      <c r="L1" s="32" t="s">
        <v>8</v>
      </c>
      <c r="M1" s="32" t="s">
        <v>9</v>
      </c>
      <c r="N1" s="32" t="s">
        <v>100</v>
      </c>
      <c r="O1" s="32" t="s">
        <v>108</v>
      </c>
    </row>
    <row r="2" spans="1:15" ht="15.6">
      <c r="A2" s="2" t="s">
        <v>10</v>
      </c>
      <c r="B2" s="2" t="s">
        <v>11</v>
      </c>
      <c r="C2" s="2" t="s">
        <v>12</v>
      </c>
      <c r="D2" s="2">
        <v>3423565232</v>
      </c>
      <c r="E2" s="2" t="s">
        <v>13</v>
      </c>
      <c r="F2" s="3">
        <v>45302</v>
      </c>
      <c r="G2" s="3" t="str">
        <f>TEXT(Table1[[#This Row],[تاريخ بداية التقديم]],"mmm")</f>
        <v>Jan</v>
      </c>
      <c r="H2" s="3">
        <v>45302</v>
      </c>
      <c r="I2" s="45">
        <v>500</v>
      </c>
      <c r="J2" s="40">
        <v>15000</v>
      </c>
      <c r="K2" s="46" t="s">
        <v>91</v>
      </c>
      <c r="L2" s="2">
        <f>'تفاصيل المشروع'!$J2 - SUMIF('تفاصيل للجهات'!A:A, 'تفاصيل المشروع'!$A2, 'تفاصيل للجهات'!O:O)</f>
        <v>-485.20999999999913</v>
      </c>
      <c r="M2" s="2">
        <v>0.33</v>
      </c>
      <c r="N2" s="50">
        <f>Table1[[#This Row],[نسبة الربحية المتوقعة]]*Table1[[#This Row],[قيمة المشروع]]</f>
        <v>4950</v>
      </c>
      <c r="O2" s="50">
        <v>500</v>
      </c>
    </row>
    <row r="3" spans="1:15" hidden="1">
      <c r="A3" s="5" t="s">
        <v>14</v>
      </c>
      <c r="B3" s="5" t="s">
        <v>15</v>
      </c>
      <c r="C3" s="5" t="s">
        <v>16</v>
      </c>
      <c r="D3" s="5">
        <v>3423565232</v>
      </c>
      <c r="E3" s="5" t="s">
        <v>17</v>
      </c>
      <c r="F3" s="6">
        <v>45607</v>
      </c>
      <c r="G3" s="6" t="str">
        <f>TEXT(Table1[[#This Row],[تاريخ بداية التقديم]],"mmm")</f>
        <v>Nov</v>
      </c>
      <c r="H3" s="6">
        <v>45621</v>
      </c>
      <c r="I3" s="45">
        <v>500</v>
      </c>
      <c r="J3" s="5">
        <v>15000</v>
      </c>
      <c r="K3" s="5" t="s">
        <v>92</v>
      </c>
      <c r="L3" s="5">
        <f>'تفاصيل المشروع'!$J3 - SUMIF('تفاصيل للجهات'!A:A, 'تفاصيل المشروع'!$A3, 'تفاصيل للجهات'!O:O)</f>
        <v>12667.8</v>
      </c>
      <c r="M3" s="5">
        <v>0.28999999999999998</v>
      </c>
      <c r="N3" s="50">
        <f>Table1[[#This Row],[نسبة الربحية المتوقعة]]*Table1[[#This Row],[قيمة المشروع]]</f>
        <v>4350</v>
      </c>
      <c r="O3" s="50">
        <v>500</v>
      </c>
    </row>
    <row r="4" spans="1:15" hidden="1">
      <c r="A4" s="2" t="s">
        <v>18</v>
      </c>
      <c r="B4" s="2" t="s">
        <v>15</v>
      </c>
      <c r="C4" s="2" t="s">
        <v>19</v>
      </c>
      <c r="D4" s="2">
        <v>3423565232</v>
      </c>
      <c r="E4" s="2" t="s">
        <v>13</v>
      </c>
      <c r="F4" s="3">
        <v>45636</v>
      </c>
      <c r="G4" s="3" t="str">
        <f>TEXT(Table1[[#This Row],[تاريخ بداية التقديم]],"mmm")</f>
        <v>Dec</v>
      </c>
      <c r="H4" s="3">
        <v>45645</v>
      </c>
      <c r="I4" s="2">
        <v>600</v>
      </c>
      <c r="J4" s="2">
        <v>15000</v>
      </c>
      <c r="K4" s="2" t="s">
        <v>91</v>
      </c>
      <c r="L4" s="2">
        <f>'تفاصيل المشروع'!$J4 - SUMIF('تفاصيل للجهات'!A:A, 'تفاصيل المشروع'!$A4, 'تفاصيل للجهات'!O:O)</f>
        <v>12467.47</v>
      </c>
      <c r="M4" s="2">
        <v>0.37</v>
      </c>
      <c r="N4" s="50">
        <f>Table1[[#This Row],[نسبة الربحية المتوقعة]]*Table1[[#This Row],[قيمة المشروع]]</f>
        <v>5550</v>
      </c>
      <c r="O4" s="50">
        <v>500</v>
      </c>
    </row>
    <row r="5" spans="1:15" hidden="1">
      <c r="A5" s="5" t="s">
        <v>20</v>
      </c>
      <c r="B5" s="5" t="s">
        <v>15</v>
      </c>
      <c r="C5" s="5" t="s">
        <v>12</v>
      </c>
      <c r="D5" s="5">
        <v>3423565232</v>
      </c>
      <c r="E5" s="5" t="s">
        <v>13</v>
      </c>
      <c r="F5" s="6">
        <v>45929</v>
      </c>
      <c r="G5" s="6" t="str">
        <f>TEXT(Table1[[#This Row],[تاريخ بداية التقديم]],"mmm")</f>
        <v>Sep</v>
      </c>
      <c r="H5" s="6">
        <v>45585</v>
      </c>
      <c r="I5" s="5">
        <v>1500</v>
      </c>
      <c r="J5" s="5">
        <v>15000</v>
      </c>
      <c r="K5" s="5" t="s">
        <v>91</v>
      </c>
      <c r="L5" s="5">
        <f>'تفاصيل المشروع'!$J5 - SUMIF('تفاصيل للجهات'!A:A, 'تفاصيل المشروع'!$A5, 'تفاصيل للجهات'!O:O)</f>
        <v>12196.875</v>
      </c>
      <c r="M5" s="5">
        <v>0.19</v>
      </c>
      <c r="N5" s="50">
        <f>Table1[[#This Row],[نسبة الربحية المتوقعة]]*Table1[[#This Row],[قيمة المشروع]]</f>
        <v>2850</v>
      </c>
      <c r="O5" s="50">
        <v>500</v>
      </c>
    </row>
    <row r="6" spans="1:15" hidden="1">
      <c r="A6" s="2" t="s">
        <v>21</v>
      </c>
      <c r="B6" s="2" t="s">
        <v>15</v>
      </c>
      <c r="C6" s="2" t="s">
        <v>16</v>
      </c>
      <c r="D6" s="2">
        <v>3423565232</v>
      </c>
      <c r="E6" s="2" t="s">
        <v>17</v>
      </c>
      <c r="F6" s="3">
        <v>45432</v>
      </c>
      <c r="G6" s="3" t="str">
        <f>TEXT(Table1[[#This Row],[تاريخ بداية التقديم]],"mmm")</f>
        <v>May</v>
      </c>
      <c r="H6" s="3">
        <v>45444</v>
      </c>
      <c r="I6" s="2">
        <v>1200</v>
      </c>
      <c r="J6" s="2">
        <v>5000000</v>
      </c>
      <c r="K6" s="2" t="s">
        <v>91</v>
      </c>
      <c r="L6" s="2">
        <f>'تفاصيل المشروع'!$J6 - SUMIF('تفاصيل للجهات'!A:A, 'تفاصيل المشروع'!$A6, 'تفاصيل للجهات'!O:O)</f>
        <v>4996890.4000000004</v>
      </c>
      <c r="M6" s="2">
        <v>0.35</v>
      </c>
      <c r="N6" s="50">
        <f>Table1[[#This Row],[نسبة الربحية المتوقعة]]*Table1[[#This Row],[قيمة المشروع]]</f>
        <v>1750000</v>
      </c>
      <c r="O6" s="50">
        <v>500</v>
      </c>
    </row>
    <row r="7" spans="1:15" hidden="1">
      <c r="A7" s="5" t="s">
        <v>22</v>
      </c>
      <c r="B7" s="5" t="s">
        <v>15</v>
      </c>
      <c r="C7" s="5" t="s">
        <v>16</v>
      </c>
      <c r="D7" s="5">
        <v>3423565232</v>
      </c>
      <c r="E7" s="5" t="s">
        <v>13</v>
      </c>
      <c r="F7" s="6">
        <v>45306</v>
      </c>
      <c r="G7" s="6" t="str">
        <f>TEXT(Table1[[#This Row],[تاريخ بداية التقديم]],"mmm")</f>
        <v>Jan</v>
      </c>
      <c r="H7" s="6">
        <v>45311</v>
      </c>
      <c r="I7" s="5">
        <v>500</v>
      </c>
      <c r="J7" s="5">
        <v>600000</v>
      </c>
      <c r="K7" s="5" t="s">
        <v>92</v>
      </c>
      <c r="L7" s="5">
        <f>'تفاصيل المشروع'!$J7 - SUMIF('تفاصيل للجهات'!A:A, 'تفاصيل المشروع'!$A7, 'تفاصيل للجهات'!O:O)</f>
        <v>596721.46499999997</v>
      </c>
      <c r="M7" s="5">
        <v>0.28799999999999998</v>
      </c>
      <c r="N7" s="50">
        <f>Table1[[#This Row],[نسبة الربحية المتوقعة]]*Table1[[#This Row],[قيمة المشروع]]</f>
        <v>172800</v>
      </c>
      <c r="O7" s="50">
        <v>500</v>
      </c>
    </row>
    <row r="8" spans="1:15" hidden="1">
      <c r="A8" s="2" t="s">
        <v>23</v>
      </c>
      <c r="B8" s="2" t="s">
        <v>15</v>
      </c>
      <c r="C8" s="2" t="s">
        <v>19</v>
      </c>
      <c r="D8" s="2">
        <v>3423565232</v>
      </c>
      <c r="E8" s="2" t="s">
        <v>13</v>
      </c>
      <c r="F8" s="3">
        <v>45576</v>
      </c>
      <c r="G8" s="3" t="str">
        <f>TEXT(Table1[[#This Row],[تاريخ بداية التقديم]],"mmm")</f>
        <v>Oct</v>
      </c>
      <c r="H8" s="3">
        <v>45590</v>
      </c>
      <c r="I8" s="2">
        <v>650</v>
      </c>
      <c r="J8" s="2">
        <v>500</v>
      </c>
      <c r="K8" s="2" t="s">
        <v>91</v>
      </c>
      <c r="L8" s="2">
        <f>'تفاصيل المشروع'!$J8 - SUMIF('تفاصيل للجهات'!A:A, 'تفاصيل المشروع'!$A8, 'تفاصيل للجهات'!O:O)</f>
        <v>-4074.7</v>
      </c>
      <c r="M8" s="2">
        <v>0.28199999999999997</v>
      </c>
      <c r="N8" s="50">
        <f>Table1[[#This Row],[نسبة الربحية المتوقعة]]*Table1[[#This Row],[قيمة المشروع]]</f>
        <v>141</v>
      </c>
      <c r="O8" s="50">
        <v>500</v>
      </c>
    </row>
    <row r="9" spans="1:15" hidden="1">
      <c r="A9" s="5" t="s">
        <v>24</v>
      </c>
      <c r="B9" s="5" t="s">
        <v>15</v>
      </c>
      <c r="C9" s="5" t="s">
        <v>12</v>
      </c>
      <c r="D9" s="5">
        <v>3423565232</v>
      </c>
      <c r="E9" s="5" t="s">
        <v>17</v>
      </c>
      <c r="F9" s="6">
        <v>45636</v>
      </c>
      <c r="G9" s="6" t="str">
        <f>TEXT(Table1[[#This Row],[تاريخ بداية التقديم]],"mmm")</f>
        <v>Dec</v>
      </c>
      <c r="H9" s="6">
        <v>45655</v>
      </c>
      <c r="I9" s="5">
        <v>2000</v>
      </c>
      <c r="J9" s="5">
        <v>25000</v>
      </c>
      <c r="K9" s="5" t="s">
        <v>92</v>
      </c>
      <c r="L9" s="5">
        <f>'تفاصيل المشروع'!$J9 - SUMIF('تفاصيل للجهات'!A:A, 'تفاصيل المشروع'!$A9, 'تفاصيل للجهات'!O:O)</f>
        <v>19603.05</v>
      </c>
      <c r="M9" s="5">
        <v>0.27600000000000002</v>
      </c>
      <c r="N9" s="50">
        <f>Table1[[#This Row],[نسبة الربحية المتوقعة]]*Table1[[#This Row],[قيمة المشروع]]</f>
        <v>6900.0000000000009</v>
      </c>
      <c r="O9" s="50">
        <v>500</v>
      </c>
    </row>
    <row r="10" spans="1:15" hidden="1">
      <c r="A10" s="2" t="s">
        <v>25</v>
      </c>
      <c r="B10" s="2" t="s">
        <v>15</v>
      </c>
      <c r="C10" s="2" t="s">
        <v>16</v>
      </c>
      <c r="D10" s="2">
        <v>3423565232</v>
      </c>
      <c r="E10" s="2" t="s">
        <v>13</v>
      </c>
      <c r="F10" s="3">
        <v>45309</v>
      </c>
      <c r="G10" s="3" t="str">
        <f>TEXT(Table1[[#This Row],[تاريخ بداية التقديم]],"mmm")</f>
        <v>Jan</v>
      </c>
      <c r="H10" s="3">
        <v>45327</v>
      </c>
      <c r="I10" s="2">
        <v>900</v>
      </c>
      <c r="J10" s="2">
        <v>27000</v>
      </c>
      <c r="K10" s="2" t="s">
        <v>91</v>
      </c>
      <c r="L10" s="2">
        <f>'تفاصيل المشروع'!$J10 - SUMIF('تفاصيل للجهات'!A:A, 'تفاصيل المشروع'!$A10, 'تفاصيل للجهات'!O:O)</f>
        <v>21618</v>
      </c>
      <c r="M10" s="2">
        <v>0.27</v>
      </c>
      <c r="N10" s="50">
        <f>Table1[[#This Row],[نسبة الربحية المتوقعة]]*Table1[[#This Row],[قيمة المشروع]]</f>
        <v>7290.0000000000009</v>
      </c>
      <c r="O10" s="50">
        <v>500</v>
      </c>
    </row>
    <row r="11" spans="1:15" hidden="1">
      <c r="A11" s="5" t="s">
        <v>26</v>
      </c>
      <c r="B11" s="5" t="s">
        <v>15</v>
      </c>
      <c r="C11" s="5" t="s">
        <v>16</v>
      </c>
      <c r="D11" s="5">
        <v>3423565232</v>
      </c>
      <c r="E11" s="5" t="s">
        <v>13</v>
      </c>
      <c r="F11" s="6">
        <v>45311</v>
      </c>
      <c r="G11" s="6" t="str">
        <f>TEXT(Table1[[#This Row],[تاريخ بداية التقديم]],"mmm")</f>
        <v>Jan</v>
      </c>
      <c r="H11" s="6">
        <v>45317</v>
      </c>
      <c r="I11" s="5">
        <v>700</v>
      </c>
      <c r="J11" s="5">
        <v>13000</v>
      </c>
      <c r="K11" s="5" t="s">
        <v>91</v>
      </c>
      <c r="L11" s="5">
        <f>'تفاصيل المشروع'!$J11 - SUMIF('تفاصيل للجهات'!A:A, 'تفاصيل المشروع'!$A11, 'تفاصيل للجهات'!O:O)</f>
        <v>9232.6</v>
      </c>
      <c r="M11" s="5">
        <v>0.26400000000000001</v>
      </c>
      <c r="N11" s="50">
        <f>Table1[[#This Row],[نسبة الربحية المتوقعة]]*Table1[[#This Row],[قيمة المشروع]]</f>
        <v>3432</v>
      </c>
      <c r="O11" s="50">
        <v>500</v>
      </c>
    </row>
    <row r="12" spans="1:15" hidden="1">
      <c r="A12" s="2" t="s">
        <v>27</v>
      </c>
      <c r="B12" s="2" t="s">
        <v>15</v>
      </c>
      <c r="C12" s="2" t="s">
        <v>19</v>
      </c>
      <c r="D12" s="2">
        <v>3423565232</v>
      </c>
      <c r="E12" s="2" t="s">
        <v>17</v>
      </c>
      <c r="F12" s="3">
        <v>45311</v>
      </c>
      <c r="G12" s="3" t="str">
        <f>TEXT(Table1[[#This Row],[تاريخ بداية التقديم]],"mmm")</f>
        <v>Jan</v>
      </c>
      <c r="H12" s="3">
        <v>45314</v>
      </c>
      <c r="I12" s="2">
        <v>825</v>
      </c>
      <c r="J12" s="2">
        <v>10000</v>
      </c>
      <c r="K12" s="2" t="s">
        <v>91</v>
      </c>
      <c r="L12" s="2">
        <f>'تفاصيل المشروع'!$J12 - SUMIF('تفاصيل للجهات'!A:A, 'تفاصيل المشروع'!$A12, 'تفاصيل للجهات'!O:O)</f>
        <v>4737.6000000000004</v>
      </c>
      <c r="M12" s="2">
        <v>0.25800000000000001</v>
      </c>
      <c r="N12" s="50">
        <f>Table1[[#This Row],[نسبة الربحية المتوقعة]]*Table1[[#This Row],[قيمة المشروع]]</f>
        <v>2580</v>
      </c>
      <c r="O12" s="50">
        <v>500</v>
      </c>
    </row>
    <row r="13" spans="1:15" hidden="1">
      <c r="A13" s="5" t="s">
        <v>28</v>
      </c>
      <c r="B13" s="5" t="s">
        <v>29</v>
      </c>
      <c r="C13" s="5" t="s">
        <v>12</v>
      </c>
      <c r="D13" s="5">
        <v>3423565232</v>
      </c>
      <c r="E13" s="5" t="s">
        <v>13</v>
      </c>
      <c r="F13" s="6">
        <v>45514</v>
      </c>
      <c r="G13" s="6" t="str">
        <f>TEXT(Table1[[#This Row],[تاريخ بداية التقديم]],"mmm")</f>
        <v>Aug</v>
      </c>
      <c r="H13" s="6">
        <v>45529</v>
      </c>
      <c r="I13" s="5">
        <v>730</v>
      </c>
      <c r="J13" s="5">
        <v>10000</v>
      </c>
      <c r="K13" s="5" t="s">
        <v>91</v>
      </c>
      <c r="L13" s="5">
        <f>'تفاصيل المشروع'!$J13 - SUMIF('تفاصيل للجهات'!A:A, 'تفاصيل المشروع'!$A13, 'تفاصيل للجهات'!O:O)</f>
        <v>5358.0249999999996</v>
      </c>
      <c r="M13" s="5">
        <v>0.252</v>
      </c>
      <c r="N13" s="50">
        <f>Table1[[#This Row],[نسبة الربحية المتوقعة]]*Table1[[#This Row],[قيمة المشروع]]</f>
        <v>2520</v>
      </c>
      <c r="O13" s="50">
        <v>500</v>
      </c>
    </row>
    <row r="14" spans="1:15">
      <c r="A14" s="2" t="s">
        <v>30</v>
      </c>
      <c r="B14" s="2" t="s">
        <v>11</v>
      </c>
      <c r="C14" s="2" t="s">
        <v>16</v>
      </c>
      <c r="D14" s="2">
        <v>3423565232</v>
      </c>
      <c r="E14" s="2" t="s">
        <v>13</v>
      </c>
      <c r="F14" s="3">
        <v>45313</v>
      </c>
      <c r="G14" s="3" t="str">
        <f>TEXT(Table1[[#This Row],[تاريخ بداية التقديم]],"mmm")</f>
        <v>Jan</v>
      </c>
      <c r="H14" s="3">
        <v>45319</v>
      </c>
      <c r="I14" s="2">
        <v>635</v>
      </c>
      <c r="J14" s="2">
        <v>10000</v>
      </c>
      <c r="K14" s="2" t="s">
        <v>91</v>
      </c>
      <c r="L14" s="2">
        <f>'تفاصيل المشروع'!$J14 - SUMIF('تفاصيل للجهات'!A:A, 'تفاصيل المشروع'!$A14, 'تفاصيل للجهات'!O:O)</f>
        <v>5012.6800000000012</v>
      </c>
      <c r="M14" s="2">
        <v>0.246</v>
      </c>
      <c r="N14" s="50">
        <f>Table1[[#This Row],[نسبة الربحية المتوقعة]]*Table1[[#This Row],[قيمة المشروع]]</f>
        <v>2460</v>
      </c>
      <c r="O14" s="50">
        <v>500</v>
      </c>
    </row>
    <row r="15" spans="1:15">
      <c r="A15" s="5" t="s">
        <v>31</v>
      </c>
      <c r="B15" s="5" t="s">
        <v>11</v>
      </c>
      <c r="C15" s="5" t="s">
        <v>16</v>
      </c>
      <c r="D15" s="5">
        <v>3423565232</v>
      </c>
      <c r="E15" s="5" t="s">
        <v>17</v>
      </c>
      <c r="F15" s="6">
        <v>45555</v>
      </c>
      <c r="G15" s="6" t="str">
        <f>TEXT(Table1[[#This Row],[تاريخ بداية التقديم]],"mmm")</f>
        <v>Sep</v>
      </c>
      <c r="H15" s="6">
        <v>45567</v>
      </c>
      <c r="I15" s="5">
        <v>539.99999999999898</v>
      </c>
      <c r="J15" s="5">
        <v>12000</v>
      </c>
      <c r="K15" s="5" t="s">
        <v>91</v>
      </c>
      <c r="L15" s="5">
        <f>'تفاصيل المشروع'!$J15 - SUMIF('تفاصيل للجهات'!A:A, 'تفاصيل المشروع'!$A15, 'تفاصيل للجهات'!O:O)</f>
        <v>7515</v>
      </c>
      <c r="M15" s="5">
        <v>0.24</v>
      </c>
      <c r="N15" s="50">
        <f>Table1[[#This Row],[نسبة الربحية المتوقعة]]*Table1[[#This Row],[قيمة المشروع]]</f>
        <v>2880</v>
      </c>
      <c r="O15" s="50">
        <v>500</v>
      </c>
    </row>
  </sheetData>
  <phoneticPr fontId="5" type="noConversion"/>
  <conditionalFormatting sqref="L2:L15">
    <cfRule type="expression" dxfId="1" priority="1">
      <formula>L2&lt;&gt;0</formula>
    </cfRule>
    <cfRule type="expression" dxfId="0" priority="2">
      <formula>L2=0</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70B9F-2DA3-4BDD-8EE2-519833D6A319}">
  <dimension ref="A1:P16"/>
  <sheetViews>
    <sheetView rightToLeft="1" topLeftCell="C1" zoomScale="101" workbookViewId="0">
      <selection activeCell="G3" sqref="G2:H3"/>
    </sheetView>
  </sheetViews>
  <sheetFormatPr defaultRowHeight="14.4"/>
  <cols>
    <col min="1" max="1" width="16.44140625" bestFit="1" customWidth="1"/>
    <col min="2" max="2" width="14.88671875" customWidth="1"/>
    <col min="3" max="3" width="10.88671875" bestFit="1" customWidth="1"/>
    <col min="4" max="4" width="8.77734375" customWidth="1"/>
    <col min="5" max="5" width="18.44140625" customWidth="1"/>
    <col min="6" max="6" width="29.5546875" bestFit="1" customWidth="1"/>
    <col min="7" max="7" width="35.33203125" customWidth="1"/>
    <col min="8" max="8" width="27.77734375" customWidth="1"/>
    <col min="9" max="9" width="22.44140625" customWidth="1"/>
    <col min="10" max="10" width="18.21875" customWidth="1"/>
    <col min="11" max="11" width="16.88671875" bestFit="1" customWidth="1"/>
    <col min="12" max="12" width="7.44140625" customWidth="1"/>
    <col min="13" max="13" width="20.88671875" customWidth="1"/>
    <col min="14" max="14" width="11.33203125" customWidth="1"/>
    <col min="15" max="15" width="21.33203125" bestFit="1" customWidth="1"/>
    <col min="16" max="16" width="16" bestFit="1" customWidth="1"/>
  </cols>
  <sheetData>
    <row r="1" spans="1:16" ht="15.6">
      <c r="A1" s="7" t="s">
        <v>0</v>
      </c>
      <c r="B1" s="7" t="s">
        <v>1</v>
      </c>
      <c r="C1" s="7" t="s">
        <v>32</v>
      </c>
      <c r="D1" s="7" t="s">
        <v>33</v>
      </c>
      <c r="E1" s="8" t="s">
        <v>34</v>
      </c>
      <c r="F1" s="8" t="s">
        <v>110</v>
      </c>
      <c r="G1" s="8" t="s">
        <v>68</v>
      </c>
      <c r="H1" s="8" t="s">
        <v>35</v>
      </c>
      <c r="I1" s="8" t="s">
        <v>109</v>
      </c>
      <c r="J1" s="8" t="s">
        <v>36</v>
      </c>
      <c r="K1" s="8" t="s">
        <v>37</v>
      </c>
      <c r="L1" s="9" t="s">
        <v>38</v>
      </c>
      <c r="M1" s="9" t="s">
        <v>39</v>
      </c>
      <c r="N1" s="9" t="s">
        <v>40</v>
      </c>
      <c r="O1" s="9" t="s">
        <v>41</v>
      </c>
      <c r="P1" s="34" t="s">
        <v>42</v>
      </c>
    </row>
    <row r="2" spans="1:16" ht="15.6">
      <c r="A2" s="10" t="s">
        <v>10</v>
      </c>
      <c r="B2" s="11" t="s">
        <v>11</v>
      </c>
      <c r="C2" s="12" t="s">
        <v>43</v>
      </c>
      <c r="D2" s="13" t="s">
        <v>44</v>
      </c>
      <c r="E2" s="14">
        <v>134</v>
      </c>
      <c r="F2" s="14">
        <f>Table2[[#This Row],[الكمية]]*Table2[[#This Row],[تكلفة الحبة اللواحدة]]</f>
        <v>1608</v>
      </c>
      <c r="G2" s="14">
        <f>E2*20%</f>
        <v>26.8</v>
      </c>
      <c r="H2" s="14">
        <f t="shared" ref="H2:H16" si="0">E2*10%</f>
        <v>13.4</v>
      </c>
      <c r="I2" s="15">
        <f t="shared" ref="I2:I16" si="1">H2+G2+E2</f>
        <v>174.2</v>
      </c>
      <c r="J2" s="15">
        <f t="shared" ref="J2:J16" si="2">I2*15%</f>
        <v>26.13</v>
      </c>
      <c r="K2" s="15">
        <f t="shared" ref="K2:K16" si="3">J2+I2</f>
        <v>200.32999999999998</v>
      </c>
      <c r="L2" s="16">
        <v>12</v>
      </c>
      <c r="M2" s="17">
        <f>I2*L2</f>
        <v>2090.3999999999996</v>
      </c>
      <c r="N2" s="18">
        <f>M2*15%</f>
        <v>313.55999999999995</v>
      </c>
      <c r="O2" s="19">
        <f t="shared" ref="O2" si="4">SUM(M2:N2)</f>
        <v>2403.9599999999996</v>
      </c>
      <c r="P2" s="35">
        <f>M2-K2</f>
        <v>1890.0699999999997</v>
      </c>
    </row>
    <row r="3" spans="1:16" ht="15.6">
      <c r="A3" s="1" t="s">
        <v>10</v>
      </c>
      <c r="B3" s="2" t="s">
        <v>15</v>
      </c>
      <c r="C3" s="12" t="s">
        <v>45</v>
      </c>
      <c r="D3" s="13" t="s">
        <v>46</v>
      </c>
      <c r="E3" s="14">
        <v>350</v>
      </c>
      <c r="F3" s="14">
        <f>Table2[[#This Row],[الكمية]]*Table2[[#This Row],[تكلفة الحبة اللواحدة]]</f>
        <v>8750</v>
      </c>
      <c r="G3" s="14">
        <f>E3*20%</f>
        <v>70</v>
      </c>
      <c r="H3" s="14">
        <f>E3*10%</f>
        <v>35</v>
      </c>
      <c r="I3" s="15">
        <f t="shared" si="1"/>
        <v>455</v>
      </c>
      <c r="J3" s="15">
        <f>I3*15%</f>
        <v>68.25</v>
      </c>
      <c r="K3" s="15">
        <f>J3+I3</f>
        <v>523.25</v>
      </c>
      <c r="L3" s="16">
        <v>25</v>
      </c>
      <c r="M3" s="17">
        <f>I3*L3</f>
        <v>11375</v>
      </c>
      <c r="N3" s="18">
        <f>M3*15%</f>
        <v>1706.25</v>
      </c>
      <c r="O3" s="19">
        <f>SUM(M3:N3)</f>
        <v>13081.25</v>
      </c>
      <c r="P3" s="35">
        <f t="shared" ref="P3:P16" si="5">M3-K3</f>
        <v>10851.75</v>
      </c>
    </row>
    <row r="4" spans="1:16" ht="15.6">
      <c r="A4" s="1" t="s">
        <v>14</v>
      </c>
      <c r="B4" s="2" t="s">
        <v>15</v>
      </c>
      <c r="C4" s="12" t="s">
        <v>45</v>
      </c>
      <c r="D4" s="13" t="s">
        <v>46</v>
      </c>
      <c r="E4" s="14">
        <v>120</v>
      </c>
      <c r="F4" s="14">
        <f>Table2[[#This Row],[الكمية]]*Table2[[#This Row],[تكلفة الحبة اللواحدة]]</f>
        <v>1560</v>
      </c>
      <c r="G4" s="14">
        <f t="shared" ref="G4:G16" si="6">E4*20%</f>
        <v>24</v>
      </c>
      <c r="H4" s="14">
        <f t="shared" si="0"/>
        <v>12</v>
      </c>
      <c r="I4" s="15">
        <f t="shared" si="1"/>
        <v>156</v>
      </c>
      <c r="J4" s="15">
        <f t="shared" si="2"/>
        <v>23.4</v>
      </c>
      <c r="K4" s="15">
        <f t="shared" si="3"/>
        <v>179.4</v>
      </c>
      <c r="L4" s="16">
        <v>13</v>
      </c>
      <c r="M4" s="17">
        <f t="shared" ref="M4:M16" si="7">I4*L4</f>
        <v>2028</v>
      </c>
      <c r="N4" s="18">
        <f t="shared" ref="N4:N16" si="8">M4*15%</f>
        <v>304.2</v>
      </c>
      <c r="O4" s="19">
        <f t="shared" ref="O4:O16" si="9">SUM(M4:N4)</f>
        <v>2332.1999999999998</v>
      </c>
      <c r="P4" s="35">
        <f t="shared" si="5"/>
        <v>1848.6</v>
      </c>
    </row>
    <row r="5" spans="1:16" ht="15.6">
      <c r="A5" s="4" t="s">
        <v>18</v>
      </c>
      <c r="B5" s="5" t="s">
        <v>15</v>
      </c>
      <c r="C5" s="12" t="s">
        <v>45</v>
      </c>
      <c r="D5" s="13" t="s">
        <v>46</v>
      </c>
      <c r="E5" s="14">
        <v>121</v>
      </c>
      <c r="F5" s="14">
        <f>Table2[[#This Row],[الكمية]]*Table2[[#This Row],[تكلفة الحبة اللواحدة]]</f>
        <v>1694</v>
      </c>
      <c r="G5" s="14">
        <f t="shared" si="6"/>
        <v>24.200000000000003</v>
      </c>
      <c r="H5" s="14">
        <f t="shared" si="0"/>
        <v>12.100000000000001</v>
      </c>
      <c r="I5" s="15">
        <f t="shared" si="1"/>
        <v>157.30000000000001</v>
      </c>
      <c r="J5" s="15">
        <f t="shared" si="2"/>
        <v>23.595000000000002</v>
      </c>
      <c r="K5" s="15">
        <f t="shared" si="3"/>
        <v>180.89500000000001</v>
      </c>
      <c r="L5" s="16">
        <v>14</v>
      </c>
      <c r="M5" s="17">
        <f t="shared" si="7"/>
        <v>2202.2000000000003</v>
      </c>
      <c r="N5" s="18">
        <f t="shared" si="8"/>
        <v>330.33000000000004</v>
      </c>
      <c r="O5" s="19">
        <f t="shared" si="9"/>
        <v>2532.5300000000002</v>
      </c>
      <c r="P5" s="35">
        <f t="shared" si="5"/>
        <v>2021.3050000000003</v>
      </c>
    </row>
    <row r="6" spans="1:16" ht="15.6">
      <c r="A6" s="1" t="s">
        <v>20</v>
      </c>
      <c r="B6" s="2" t="s">
        <v>15</v>
      </c>
      <c r="C6" s="12" t="s">
        <v>43</v>
      </c>
      <c r="D6" s="13" t="s">
        <v>44</v>
      </c>
      <c r="E6" s="20">
        <v>125</v>
      </c>
      <c r="F6" s="60">
        <f>Table2[[#This Row],[الكمية]]*Table2[[#This Row],[تكلفة الحبة اللواحدة]]</f>
        <v>1875</v>
      </c>
      <c r="G6" s="14">
        <f t="shared" si="6"/>
        <v>25</v>
      </c>
      <c r="H6" s="14">
        <f t="shared" si="0"/>
        <v>12.5</v>
      </c>
      <c r="I6" s="15">
        <f t="shared" si="1"/>
        <v>162.5</v>
      </c>
      <c r="J6" s="15">
        <f t="shared" si="2"/>
        <v>24.375</v>
      </c>
      <c r="K6" s="15">
        <f t="shared" si="3"/>
        <v>186.875</v>
      </c>
      <c r="L6" s="16">
        <v>15</v>
      </c>
      <c r="M6" s="17">
        <f t="shared" si="7"/>
        <v>2437.5</v>
      </c>
      <c r="N6" s="18">
        <f t="shared" si="8"/>
        <v>365.625</v>
      </c>
      <c r="O6" s="19">
        <f t="shared" si="9"/>
        <v>2803.125</v>
      </c>
      <c r="P6" s="35">
        <f t="shared" si="5"/>
        <v>2250.625</v>
      </c>
    </row>
    <row r="7" spans="1:16" ht="15.6">
      <c r="A7" s="4" t="s">
        <v>21</v>
      </c>
      <c r="B7" s="5" t="s">
        <v>15</v>
      </c>
      <c r="C7" s="12" t="s">
        <v>45</v>
      </c>
      <c r="D7" s="13" t="s">
        <v>46</v>
      </c>
      <c r="E7" s="20">
        <v>130</v>
      </c>
      <c r="F7" s="60">
        <f>Table2[[#This Row],[الكمية]]*Table2[[#This Row],[تكلفة الحبة اللواحدة]]</f>
        <v>2080</v>
      </c>
      <c r="G7" s="14">
        <f t="shared" si="6"/>
        <v>26</v>
      </c>
      <c r="H7" s="14">
        <f t="shared" si="0"/>
        <v>13</v>
      </c>
      <c r="I7" s="15">
        <f t="shared" si="1"/>
        <v>169</v>
      </c>
      <c r="J7" s="15">
        <f t="shared" si="2"/>
        <v>25.349999999999998</v>
      </c>
      <c r="K7" s="15">
        <f t="shared" si="3"/>
        <v>194.35</v>
      </c>
      <c r="L7" s="16">
        <v>16</v>
      </c>
      <c r="M7" s="17">
        <f t="shared" si="7"/>
        <v>2704</v>
      </c>
      <c r="N7" s="18">
        <f t="shared" si="8"/>
        <v>405.59999999999997</v>
      </c>
      <c r="O7" s="19">
        <f t="shared" si="9"/>
        <v>3109.6</v>
      </c>
      <c r="P7" s="35">
        <f t="shared" si="5"/>
        <v>2509.65</v>
      </c>
    </row>
    <row r="8" spans="1:16" ht="15.6">
      <c r="A8" s="1" t="s">
        <v>22</v>
      </c>
      <c r="B8" s="2" t="s">
        <v>15</v>
      </c>
      <c r="C8" s="12" t="s">
        <v>45</v>
      </c>
      <c r="D8" s="13" t="s">
        <v>46</v>
      </c>
      <c r="E8" s="20">
        <v>129</v>
      </c>
      <c r="F8" s="60">
        <f>Table2[[#This Row],[الكمية]]*Table2[[#This Row],[تكلفة الحبة اللواحدة]]</f>
        <v>2193</v>
      </c>
      <c r="G8" s="14">
        <f t="shared" si="6"/>
        <v>25.8</v>
      </c>
      <c r="H8" s="14">
        <f t="shared" si="0"/>
        <v>12.9</v>
      </c>
      <c r="I8" s="15">
        <f t="shared" si="1"/>
        <v>167.7</v>
      </c>
      <c r="J8" s="15">
        <f t="shared" si="2"/>
        <v>25.154999999999998</v>
      </c>
      <c r="K8" s="15">
        <f t="shared" si="3"/>
        <v>192.85499999999999</v>
      </c>
      <c r="L8" s="16">
        <v>17</v>
      </c>
      <c r="M8" s="17">
        <f t="shared" si="7"/>
        <v>2850.8999999999996</v>
      </c>
      <c r="N8" s="18">
        <f t="shared" si="8"/>
        <v>427.63499999999993</v>
      </c>
      <c r="O8" s="19">
        <f t="shared" si="9"/>
        <v>3278.5349999999994</v>
      </c>
      <c r="P8" s="35">
        <f t="shared" si="5"/>
        <v>2658.0449999999996</v>
      </c>
    </row>
    <row r="9" spans="1:16" ht="15.6">
      <c r="A9" s="4" t="s">
        <v>23</v>
      </c>
      <c r="B9" s="5" t="s">
        <v>15</v>
      </c>
      <c r="C9" s="12" t="s">
        <v>43</v>
      </c>
      <c r="D9" s="13" t="s">
        <v>44</v>
      </c>
      <c r="E9" s="20">
        <v>170</v>
      </c>
      <c r="F9" s="60">
        <f>Table2[[#This Row],[الكمية]]*Table2[[#This Row],[تكلفة الحبة اللواحدة]]</f>
        <v>3060</v>
      </c>
      <c r="G9" s="14">
        <f t="shared" si="6"/>
        <v>34</v>
      </c>
      <c r="H9" s="14">
        <f t="shared" si="0"/>
        <v>17</v>
      </c>
      <c r="I9" s="15">
        <f t="shared" si="1"/>
        <v>221</v>
      </c>
      <c r="J9" s="15">
        <f t="shared" si="2"/>
        <v>33.15</v>
      </c>
      <c r="K9" s="15">
        <f t="shared" si="3"/>
        <v>254.15</v>
      </c>
      <c r="L9" s="16">
        <v>18</v>
      </c>
      <c r="M9" s="17">
        <f t="shared" si="7"/>
        <v>3978</v>
      </c>
      <c r="N9" s="18">
        <f t="shared" si="8"/>
        <v>596.69999999999993</v>
      </c>
      <c r="O9" s="19">
        <f t="shared" si="9"/>
        <v>4574.7</v>
      </c>
      <c r="P9" s="35">
        <f t="shared" si="5"/>
        <v>3723.85</v>
      </c>
    </row>
    <row r="10" spans="1:16" ht="15.6">
      <c r="A10" s="1" t="s">
        <v>24</v>
      </c>
      <c r="B10" s="2" t="s">
        <v>15</v>
      </c>
      <c r="C10" s="12" t="s">
        <v>45</v>
      </c>
      <c r="D10" s="13" t="s">
        <v>46</v>
      </c>
      <c r="E10" s="20">
        <v>190</v>
      </c>
      <c r="F10" s="60">
        <f>Table2[[#This Row],[الكمية]]*Table2[[#This Row],[تكلفة الحبة اللواحدة]]</f>
        <v>3610</v>
      </c>
      <c r="G10" s="14">
        <f t="shared" si="6"/>
        <v>38</v>
      </c>
      <c r="H10" s="14">
        <f t="shared" si="0"/>
        <v>19</v>
      </c>
      <c r="I10" s="15">
        <f t="shared" si="1"/>
        <v>247</v>
      </c>
      <c r="J10" s="15">
        <f t="shared" si="2"/>
        <v>37.049999999999997</v>
      </c>
      <c r="K10" s="15">
        <f t="shared" si="3"/>
        <v>284.05</v>
      </c>
      <c r="L10" s="16">
        <v>19</v>
      </c>
      <c r="M10" s="17">
        <f t="shared" si="7"/>
        <v>4693</v>
      </c>
      <c r="N10" s="18">
        <f t="shared" si="8"/>
        <v>703.94999999999993</v>
      </c>
      <c r="O10" s="19">
        <f t="shared" si="9"/>
        <v>5396.95</v>
      </c>
      <c r="P10" s="35">
        <f t="shared" si="5"/>
        <v>4408.95</v>
      </c>
    </row>
    <row r="11" spans="1:16" ht="15.6">
      <c r="A11" s="4" t="s">
        <v>25</v>
      </c>
      <c r="B11" s="5" t="s">
        <v>15</v>
      </c>
      <c r="C11" s="12" t="s">
        <v>45</v>
      </c>
      <c r="D11" s="13" t="s">
        <v>46</v>
      </c>
      <c r="E11" s="20">
        <v>180</v>
      </c>
      <c r="F11" s="60">
        <f>Table2[[#This Row],[الكمية]]*Table2[[#This Row],[تكلفة الحبة اللواحدة]]</f>
        <v>3600</v>
      </c>
      <c r="G11" s="14">
        <f t="shared" si="6"/>
        <v>36</v>
      </c>
      <c r="H11" s="14">
        <f t="shared" si="0"/>
        <v>18</v>
      </c>
      <c r="I11" s="15">
        <f t="shared" si="1"/>
        <v>234</v>
      </c>
      <c r="J11" s="15">
        <f t="shared" si="2"/>
        <v>35.1</v>
      </c>
      <c r="K11" s="15">
        <f t="shared" si="3"/>
        <v>269.10000000000002</v>
      </c>
      <c r="L11" s="16">
        <v>20</v>
      </c>
      <c r="M11" s="17">
        <f t="shared" si="7"/>
        <v>4680</v>
      </c>
      <c r="N11" s="18">
        <f t="shared" si="8"/>
        <v>702</v>
      </c>
      <c r="O11" s="19">
        <f t="shared" si="9"/>
        <v>5382</v>
      </c>
      <c r="P11" s="35">
        <f t="shared" si="5"/>
        <v>4410.8999999999996</v>
      </c>
    </row>
    <row r="12" spans="1:16" ht="15.6">
      <c r="A12" s="1" t="s">
        <v>26</v>
      </c>
      <c r="B12" s="2" t="s">
        <v>15</v>
      </c>
      <c r="C12" s="12" t="s">
        <v>43</v>
      </c>
      <c r="D12" s="13" t="s">
        <v>44</v>
      </c>
      <c r="E12" s="20">
        <v>120</v>
      </c>
      <c r="F12" s="60">
        <f>Table2[[#This Row],[الكمية]]*Table2[[#This Row],[تكلفة الحبة اللواحدة]]</f>
        <v>2520</v>
      </c>
      <c r="G12" s="14">
        <f t="shared" si="6"/>
        <v>24</v>
      </c>
      <c r="H12" s="14">
        <f t="shared" si="0"/>
        <v>12</v>
      </c>
      <c r="I12" s="15">
        <f t="shared" si="1"/>
        <v>156</v>
      </c>
      <c r="J12" s="15">
        <f t="shared" si="2"/>
        <v>23.4</v>
      </c>
      <c r="K12" s="15">
        <f t="shared" si="3"/>
        <v>179.4</v>
      </c>
      <c r="L12" s="16">
        <v>21</v>
      </c>
      <c r="M12" s="17">
        <f t="shared" si="7"/>
        <v>3276</v>
      </c>
      <c r="N12" s="18">
        <f t="shared" si="8"/>
        <v>491.4</v>
      </c>
      <c r="O12" s="19">
        <f t="shared" si="9"/>
        <v>3767.4</v>
      </c>
      <c r="P12" s="35">
        <f t="shared" si="5"/>
        <v>3096.6</v>
      </c>
    </row>
    <row r="13" spans="1:16" ht="15.6">
      <c r="A13" s="4" t="s">
        <v>27</v>
      </c>
      <c r="B13" s="5" t="s">
        <v>15</v>
      </c>
      <c r="C13" s="12" t="s">
        <v>45</v>
      </c>
      <c r="D13" s="13" t="s">
        <v>46</v>
      </c>
      <c r="E13" s="20">
        <v>160</v>
      </c>
      <c r="F13" s="60">
        <f>Table2[[#This Row],[الكمية]]*Table2[[#This Row],[تكلفة الحبة اللواحدة]]</f>
        <v>3520</v>
      </c>
      <c r="G13" s="14">
        <f t="shared" si="6"/>
        <v>32</v>
      </c>
      <c r="H13" s="14">
        <f t="shared" si="0"/>
        <v>16</v>
      </c>
      <c r="I13" s="15">
        <f t="shared" si="1"/>
        <v>208</v>
      </c>
      <c r="J13" s="15">
        <f t="shared" si="2"/>
        <v>31.2</v>
      </c>
      <c r="K13" s="15">
        <f t="shared" si="3"/>
        <v>239.2</v>
      </c>
      <c r="L13" s="16">
        <v>22</v>
      </c>
      <c r="M13" s="17">
        <f t="shared" si="7"/>
        <v>4576</v>
      </c>
      <c r="N13" s="18">
        <f t="shared" si="8"/>
        <v>686.4</v>
      </c>
      <c r="O13" s="19">
        <f t="shared" si="9"/>
        <v>5262.4</v>
      </c>
      <c r="P13" s="35">
        <f t="shared" si="5"/>
        <v>4336.8</v>
      </c>
    </row>
    <row r="14" spans="1:16" ht="15.6">
      <c r="A14" s="1" t="s">
        <v>28</v>
      </c>
      <c r="B14" s="2" t="s">
        <v>29</v>
      </c>
      <c r="C14" s="12" t="s">
        <v>45</v>
      </c>
      <c r="D14" s="13" t="s">
        <v>46</v>
      </c>
      <c r="E14" s="20">
        <v>135</v>
      </c>
      <c r="F14" s="60">
        <f>Table2[[#This Row],[الكمية]]*Table2[[#This Row],[تكلفة الحبة اللواحدة]]</f>
        <v>3105</v>
      </c>
      <c r="G14" s="14">
        <f t="shared" si="6"/>
        <v>27</v>
      </c>
      <c r="H14" s="14">
        <f t="shared" si="0"/>
        <v>13.5</v>
      </c>
      <c r="I14" s="15">
        <f t="shared" si="1"/>
        <v>175.5</v>
      </c>
      <c r="J14" s="15">
        <f t="shared" si="2"/>
        <v>26.324999999999999</v>
      </c>
      <c r="K14" s="15">
        <f t="shared" si="3"/>
        <v>201.82499999999999</v>
      </c>
      <c r="L14" s="16">
        <v>23</v>
      </c>
      <c r="M14" s="17">
        <f t="shared" si="7"/>
        <v>4036.5</v>
      </c>
      <c r="N14" s="18">
        <f t="shared" si="8"/>
        <v>605.47500000000002</v>
      </c>
      <c r="O14" s="19">
        <f t="shared" si="9"/>
        <v>4641.9750000000004</v>
      </c>
      <c r="P14" s="35">
        <f t="shared" si="5"/>
        <v>3834.6750000000002</v>
      </c>
    </row>
    <row r="15" spans="1:16" ht="15.6">
      <c r="A15" s="4" t="s">
        <v>30</v>
      </c>
      <c r="B15" s="5" t="s">
        <v>11</v>
      </c>
      <c r="C15" s="12" t="s">
        <v>43</v>
      </c>
      <c r="D15" s="13" t="s">
        <v>44</v>
      </c>
      <c r="E15" s="20">
        <v>139</v>
      </c>
      <c r="F15" s="60">
        <f>Table2[[#This Row],[الكمية]]*Table2[[#This Row],[تكلفة الحبة اللواحدة]]</f>
        <v>3336</v>
      </c>
      <c r="G15" s="14">
        <f t="shared" si="6"/>
        <v>27.8</v>
      </c>
      <c r="H15" s="14">
        <f t="shared" si="0"/>
        <v>13.9</v>
      </c>
      <c r="I15" s="15">
        <f t="shared" si="1"/>
        <v>180.7</v>
      </c>
      <c r="J15" s="15">
        <f t="shared" si="2"/>
        <v>27.104999999999997</v>
      </c>
      <c r="K15" s="15">
        <f t="shared" si="3"/>
        <v>207.80499999999998</v>
      </c>
      <c r="L15" s="16">
        <v>24</v>
      </c>
      <c r="M15" s="17">
        <f t="shared" si="7"/>
        <v>4336.7999999999993</v>
      </c>
      <c r="N15" s="18">
        <f t="shared" si="8"/>
        <v>650.51999999999987</v>
      </c>
      <c r="O15" s="19">
        <f t="shared" si="9"/>
        <v>4987.3199999999988</v>
      </c>
      <c r="P15" s="35">
        <f t="shared" si="5"/>
        <v>4128.994999999999</v>
      </c>
    </row>
    <row r="16" spans="1:16" ht="15.6">
      <c r="A16" s="21" t="s">
        <v>31</v>
      </c>
      <c r="B16" s="22" t="s">
        <v>11</v>
      </c>
      <c r="C16" s="23" t="s">
        <v>45</v>
      </c>
      <c r="D16" s="24" t="s">
        <v>46</v>
      </c>
      <c r="E16" s="25">
        <v>120</v>
      </c>
      <c r="F16" s="60">
        <f>Table2[[#This Row],[الكمية]]*Table2[[#This Row],[تكلفة الحبة اللواحدة]]</f>
        <v>3000</v>
      </c>
      <c r="G16" s="26">
        <f t="shared" si="6"/>
        <v>24</v>
      </c>
      <c r="H16" s="26">
        <f t="shared" si="0"/>
        <v>12</v>
      </c>
      <c r="I16" s="27">
        <f t="shared" si="1"/>
        <v>156</v>
      </c>
      <c r="J16" s="27">
        <f t="shared" si="2"/>
        <v>23.4</v>
      </c>
      <c r="K16" s="27">
        <f t="shared" si="3"/>
        <v>179.4</v>
      </c>
      <c r="L16" s="28">
        <v>25</v>
      </c>
      <c r="M16" s="29">
        <f t="shared" si="7"/>
        <v>3900</v>
      </c>
      <c r="N16" s="30">
        <f t="shared" si="8"/>
        <v>585</v>
      </c>
      <c r="O16" s="31">
        <f t="shared" si="9"/>
        <v>4485</v>
      </c>
      <c r="P16" s="35">
        <f t="shared" si="5"/>
        <v>3720.6</v>
      </c>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06D853DC-1379-47CC-A963-2CB628C47D5C}">
          <x14:formula1>
            <xm:f>'تفاصيل المشروع'!$A:$A</xm:f>
          </x14:formula1>
          <xm:sqref>A1:A1048576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2AC8A-48F2-40B0-B955-2000F4842C2C}">
  <dimension ref="A3:B10"/>
  <sheetViews>
    <sheetView workbookViewId="0">
      <selection activeCell="U53" sqref="U53"/>
    </sheetView>
  </sheetViews>
  <sheetFormatPr defaultRowHeight="14.4"/>
  <cols>
    <col min="1" max="1" width="12.5546875" bestFit="1" customWidth="1"/>
    <col min="2" max="2" width="25.6640625" bestFit="1" customWidth="1"/>
    <col min="3" max="3" width="17.77734375" bestFit="1" customWidth="1"/>
    <col min="4" max="15" width="17" bestFit="1" customWidth="1"/>
    <col min="16" max="16" width="10.77734375" bestFit="1" customWidth="1"/>
  </cols>
  <sheetData>
    <row r="3" spans="1:2">
      <c r="A3" s="37" t="s">
        <v>47</v>
      </c>
      <c r="B3" t="s">
        <v>70</v>
      </c>
    </row>
    <row r="4" spans="1:2">
      <c r="A4" s="38" t="s">
        <v>50</v>
      </c>
      <c r="B4" s="39"/>
    </row>
    <row r="5" spans="1:2">
      <c r="A5" s="38" t="s">
        <v>112</v>
      </c>
      <c r="B5" s="39">
        <v>-0.83333333333333337</v>
      </c>
    </row>
    <row r="6" spans="1:2">
      <c r="A6" s="38" t="s">
        <v>113</v>
      </c>
      <c r="B6" s="39">
        <v>0</v>
      </c>
    </row>
    <row r="7" spans="1:2">
      <c r="A7" s="38" t="s">
        <v>111</v>
      </c>
      <c r="B7" s="39">
        <v>1</v>
      </c>
    </row>
    <row r="8" spans="1:2">
      <c r="A8" s="38" t="s">
        <v>114</v>
      </c>
      <c r="B8" s="39">
        <v>-0.5</v>
      </c>
    </row>
    <row r="9" spans="1:2">
      <c r="A9" s="38" t="s">
        <v>115</v>
      </c>
      <c r="B9" s="39">
        <v>1</v>
      </c>
    </row>
    <row r="10" spans="1:2">
      <c r="A10" s="38" t="s">
        <v>48</v>
      </c>
      <c r="B10" s="39"/>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42904-9D04-4671-AE8E-73E933CF3BEF}">
  <dimension ref="A3:E4"/>
  <sheetViews>
    <sheetView workbookViewId="0">
      <selection activeCell="S73" sqref="S73"/>
    </sheetView>
  </sheetViews>
  <sheetFormatPr defaultRowHeight="14.4"/>
  <cols>
    <col min="1" max="1" width="5" bestFit="1" customWidth="1"/>
    <col min="2" max="2" width="17.44140625" bestFit="1" customWidth="1"/>
    <col min="3" max="3" width="9" bestFit="1" customWidth="1"/>
    <col min="4" max="4" width="16.5546875" bestFit="1" customWidth="1"/>
    <col min="5" max="5" width="10" bestFit="1" customWidth="1"/>
  </cols>
  <sheetData>
    <row r="3" spans="1:5">
      <c r="A3" t="s">
        <v>38</v>
      </c>
      <c r="B3" t="s">
        <v>62</v>
      </c>
      <c r="C3" t="s">
        <v>63</v>
      </c>
      <c r="D3" t="s">
        <v>64</v>
      </c>
      <c r="E3" t="s">
        <v>65</v>
      </c>
    </row>
    <row r="4" spans="1:5">
      <c r="A4">
        <v>271</v>
      </c>
      <c r="B4">
        <v>57136.3</v>
      </c>
      <c r="C4">
        <v>8570.4449999999997</v>
      </c>
      <c r="D4">
        <v>65706.744999999995</v>
      </c>
      <c r="E4">
        <v>53842.814999999995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D38FD-DD39-4ECC-8EE3-48BE4097F1D2}">
  <dimension ref="A3:D4"/>
  <sheetViews>
    <sheetView workbookViewId="0">
      <selection activeCell="A4" sqref="A4:A17"/>
    </sheetView>
  </sheetViews>
  <sheetFormatPr defaultRowHeight="14.4"/>
  <cols>
    <col min="1" max="1" width="14.21875" bestFit="1" customWidth="1"/>
    <col min="2" max="2" width="10.88671875" bestFit="1" customWidth="1"/>
    <col min="3" max="3" width="14.5546875" bestFit="1" customWidth="1"/>
    <col min="4" max="4" width="22.77734375" bestFit="1" customWidth="1"/>
    <col min="5" max="5" width="14.5546875" bestFit="1" customWidth="1"/>
    <col min="6" max="6" width="22.77734375" bestFit="1" customWidth="1"/>
  </cols>
  <sheetData>
    <row r="3" spans="1:4">
      <c r="A3" t="s">
        <v>66</v>
      </c>
      <c r="B3" t="s">
        <v>67</v>
      </c>
      <c r="C3" t="s">
        <v>36</v>
      </c>
      <c r="D3" t="s">
        <v>69</v>
      </c>
    </row>
    <row r="4" spans="1:4">
      <c r="A4">
        <v>2203</v>
      </c>
      <c r="B4">
        <v>220.3</v>
      </c>
      <c r="C4">
        <v>429.58499999999998</v>
      </c>
      <c r="D4">
        <v>3293.4849999999997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70EC9-48A1-4076-98D6-CE8A93F08BCD}">
  <dimension ref="A3:J18"/>
  <sheetViews>
    <sheetView zoomScale="77" workbookViewId="0">
      <selection activeCell="Y24" sqref="Y24"/>
    </sheetView>
  </sheetViews>
  <sheetFormatPr defaultRowHeight="14.4"/>
  <cols>
    <col min="1" max="1" width="11.109375" bestFit="1" customWidth="1"/>
    <col min="2" max="2" width="18.109375" bestFit="1" customWidth="1"/>
    <col min="4" max="4" width="27.21875" bestFit="1" customWidth="1"/>
    <col min="7" max="7" width="15.77734375" bestFit="1" customWidth="1"/>
    <col min="9" max="9" width="14.77734375" bestFit="1" customWidth="1"/>
    <col min="10" max="10" width="18.109375" bestFit="1" customWidth="1"/>
  </cols>
  <sheetData>
    <row r="3" spans="1:10">
      <c r="A3" s="37" t="s">
        <v>2</v>
      </c>
      <c r="B3" t="s">
        <v>53</v>
      </c>
      <c r="I3" s="37" t="s">
        <v>1</v>
      </c>
      <c r="J3" t="s">
        <v>53</v>
      </c>
    </row>
    <row r="4" spans="1:10">
      <c r="A4" t="s">
        <v>12</v>
      </c>
      <c r="B4">
        <v>4</v>
      </c>
      <c r="I4" t="s">
        <v>11</v>
      </c>
      <c r="J4">
        <v>3</v>
      </c>
    </row>
    <row r="5" spans="1:10">
      <c r="A5" t="s">
        <v>19</v>
      </c>
      <c r="B5">
        <v>3</v>
      </c>
      <c r="I5" t="s">
        <v>29</v>
      </c>
      <c r="J5">
        <v>1</v>
      </c>
    </row>
    <row r="6" spans="1:10">
      <c r="A6" t="s">
        <v>16</v>
      </c>
      <c r="B6">
        <v>6</v>
      </c>
      <c r="I6" t="s">
        <v>15</v>
      </c>
      <c r="J6">
        <v>9</v>
      </c>
    </row>
    <row r="7" spans="1:10">
      <c r="A7" t="s">
        <v>48</v>
      </c>
      <c r="B7">
        <v>13</v>
      </c>
      <c r="I7" t="s">
        <v>48</v>
      </c>
      <c r="J7">
        <v>13</v>
      </c>
    </row>
    <row r="16" spans="1:10">
      <c r="D16" t="s">
        <v>55</v>
      </c>
    </row>
    <row r="17" spans="4:7">
      <c r="D17">
        <v>3</v>
      </c>
    </row>
    <row r="18" spans="4:7">
      <c r="F18">
        <f>GETPIVOTDATA("[Measures].[Distinct Count of الجهة الحكومية]",$D$16)</f>
        <v>3</v>
      </c>
      <c r="G18" t="s">
        <v>54</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9D548-22E1-4100-BE0B-422B33A51D83}">
  <dimension ref="A3:U17"/>
  <sheetViews>
    <sheetView rightToLeft="1" topLeftCell="F1" workbookViewId="0">
      <selection activeCell="R12" sqref="R12"/>
    </sheetView>
  </sheetViews>
  <sheetFormatPr defaultRowHeight="14.4"/>
  <cols>
    <col min="1" max="1" width="16.44140625" bestFit="1" customWidth="1"/>
    <col min="2" max="2" width="16.77734375" bestFit="1" customWidth="1"/>
    <col min="3" max="3" width="23" bestFit="1" customWidth="1"/>
    <col min="4" max="4" width="17.77734375" bestFit="1" customWidth="1"/>
    <col min="12" max="12" width="11.6640625" bestFit="1" customWidth="1"/>
    <col min="18" max="18" width="12.5546875" bestFit="1" customWidth="1"/>
    <col min="19" max="19" width="18" bestFit="1" customWidth="1"/>
    <col min="20" max="20" width="16.109375" bestFit="1" customWidth="1"/>
    <col min="21" max="21" width="16.77734375" bestFit="1" customWidth="1"/>
  </cols>
  <sheetData>
    <row r="3" spans="1:21">
      <c r="A3" s="37" t="s">
        <v>0</v>
      </c>
      <c r="B3" t="s">
        <v>56</v>
      </c>
      <c r="C3" t="s">
        <v>57</v>
      </c>
      <c r="D3" t="s">
        <v>53</v>
      </c>
    </row>
    <row r="4" spans="1:21">
      <c r="A4" t="s">
        <v>10</v>
      </c>
      <c r="B4">
        <v>15000</v>
      </c>
      <c r="C4">
        <v>0.33</v>
      </c>
      <c r="D4">
        <v>1</v>
      </c>
      <c r="R4" s="37" t="s">
        <v>47</v>
      </c>
      <c r="S4" t="s">
        <v>93</v>
      </c>
      <c r="T4" t="s">
        <v>94</v>
      </c>
      <c r="U4" t="s">
        <v>56</v>
      </c>
    </row>
    <row r="5" spans="1:21">
      <c r="A5" t="s">
        <v>18</v>
      </c>
      <c r="B5">
        <v>15000</v>
      </c>
      <c r="C5">
        <v>0.37</v>
      </c>
      <c r="D5">
        <v>1</v>
      </c>
      <c r="I5">
        <f>GETPIVOTDATA("[Measures].[Sum of قيمة المشروع]",$A$3)</f>
        <v>5752500</v>
      </c>
      <c r="J5" t="s">
        <v>7</v>
      </c>
      <c r="R5" s="49" t="s">
        <v>91</v>
      </c>
      <c r="S5">
        <v>11</v>
      </c>
      <c r="T5">
        <v>8779.9999999999982</v>
      </c>
      <c r="U5">
        <v>5127500</v>
      </c>
    </row>
    <row r="6" spans="1:21">
      <c r="A6" t="s">
        <v>20</v>
      </c>
      <c r="B6">
        <v>15000</v>
      </c>
      <c r="C6">
        <v>0.19</v>
      </c>
      <c r="D6">
        <v>1</v>
      </c>
      <c r="I6">
        <f>GETPIVOTDATA("[Measures].[Sum of نسبة الربحية المتوقعة]",$A$3)</f>
        <v>3.6160000000000001</v>
      </c>
      <c r="J6" t="s">
        <v>58</v>
      </c>
      <c r="M6" t="str">
        <f>N6 &amp; "%"</f>
        <v>361.6%</v>
      </c>
      <c r="N6">
        <f>I6*100</f>
        <v>361.6</v>
      </c>
      <c r="O6" t="s">
        <v>59</v>
      </c>
      <c r="R6" s="49" t="s">
        <v>92</v>
      </c>
      <c r="S6">
        <v>2</v>
      </c>
      <c r="T6">
        <v>2500</v>
      </c>
      <c r="U6">
        <v>625000</v>
      </c>
    </row>
    <row r="7" spans="1:21">
      <c r="A7" t="s">
        <v>21</v>
      </c>
      <c r="B7">
        <v>5000000</v>
      </c>
      <c r="C7">
        <v>0.35</v>
      </c>
      <c r="D7">
        <v>1</v>
      </c>
      <c r="N7">
        <f>IF(N6&lt;=100,100-N6,0)</f>
        <v>0</v>
      </c>
      <c r="R7" s="49" t="s">
        <v>48</v>
      </c>
      <c r="S7">
        <v>13</v>
      </c>
      <c r="T7">
        <v>11279.999999999998</v>
      </c>
      <c r="U7">
        <v>5752500</v>
      </c>
    </row>
    <row r="8" spans="1:21">
      <c r="A8" t="s">
        <v>22</v>
      </c>
      <c r="B8">
        <v>600000</v>
      </c>
      <c r="C8">
        <v>0.28799999999999998</v>
      </c>
      <c r="D8">
        <v>1</v>
      </c>
      <c r="I8">
        <f>I6*I5</f>
        <v>20801040</v>
      </c>
      <c r="J8" t="s">
        <v>60</v>
      </c>
    </row>
    <row r="9" spans="1:21">
      <c r="A9" t="s">
        <v>23</v>
      </c>
      <c r="B9">
        <v>500</v>
      </c>
      <c r="C9">
        <v>0.28199999999999997</v>
      </c>
      <c r="D9">
        <v>1</v>
      </c>
      <c r="R9" s="38" t="s">
        <v>92</v>
      </c>
      <c r="S9" t="s">
        <v>91</v>
      </c>
    </row>
    <row r="10" spans="1:21">
      <c r="A10" t="s">
        <v>24</v>
      </c>
      <c r="B10">
        <v>25000</v>
      </c>
      <c r="C10">
        <v>0.27600000000000002</v>
      </c>
      <c r="D10">
        <v>1</v>
      </c>
      <c r="R10">
        <f>IFERROR(GETPIVOTDATA("[Measures].[Count of حالة المشروع]",$R$4,"[Table1].[حالة المشروع]","[Table1].[حالة المشروع].&amp;[مرفوض]"),"لا توجد ")</f>
        <v>2</v>
      </c>
      <c r="S10">
        <f>GETPIVOTDATA("[Measures].[Count of حالة المشروع]",$R$4,"[Table1].[حالة المشروع]","[Table1].[حالة المشروع].&amp;[مقبول]")</f>
        <v>11</v>
      </c>
      <c r="T10" t="s">
        <v>61</v>
      </c>
    </row>
    <row r="11" spans="1:21">
      <c r="A11" t="s">
        <v>25</v>
      </c>
      <c r="B11">
        <v>27000</v>
      </c>
      <c r="C11">
        <v>0.27</v>
      </c>
      <c r="D11">
        <v>1</v>
      </c>
      <c r="R11">
        <f>IFERROR(GETPIVOTDATA("[Measures].[Sum of قيمة الكراسة]",$R$4,"[Table1].[حالة المشروع]","[Table1].[حالة المشروع].&amp;[مرفوض]"),"لا توجد")</f>
        <v>2500</v>
      </c>
      <c r="S11">
        <f>GETPIVOTDATA("[Measures].[Sum of قيمة المشروع]",$R$4,"[Table1].[حالة المشروع]","[Table1].[حالة المشروع].&amp;[مقبول]")</f>
        <v>5127500</v>
      </c>
      <c r="T11" t="s">
        <v>7</v>
      </c>
    </row>
    <row r="12" spans="1:21">
      <c r="A12" t="s">
        <v>26</v>
      </c>
      <c r="B12">
        <v>13000</v>
      </c>
      <c r="C12">
        <v>0.26400000000000001</v>
      </c>
      <c r="D12">
        <v>1</v>
      </c>
      <c r="R12">
        <f>IFERROR(GETPIVOTDATA("[Measures].[Sum of قيمة المشروع]",$R$4,"[Table1].[حالة المشروع]","[Table1].[حالة المشروع].&amp;[مرفوض]"),"لا توجد")</f>
        <v>625000</v>
      </c>
      <c r="S12">
        <f>GETPIVOTDATA("[Measures].[Sum of قيمة الكراسة]",$R$4,"[Table1].[حالة المشروع]","[Table1].[حالة المشروع].&amp;[مقبول]")</f>
        <v>8779.9999999999982</v>
      </c>
      <c r="T12" t="s">
        <v>95</v>
      </c>
    </row>
    <row r="13" spans="1:21">
      <c r="A13" t="s">
        <v>27</v>
      </c>
      <c r="B13">
        <v>10000</v>
      </c>
      <c r="C13">
        <v>0.25800000000000001</v>
      </c>
      <c r="D13">
        <v>1</v>
      </c>
    </row>
    <row r="14" spans="1:21">
      <c r="A14" t="s">
        <v>28</v>
      </c>
      <c r="B14">
        <v>10000</v>
      </c>
      <c r="C14">
        <v>0.252</v>
      </c>
      <c r="D14">
        <v>1</v>
      </c>
    </row>
    <row r="15" spans="1:21">
      <c r="A15" t="s">
        <v>30</v>
      </c>
      <c r="B15">
        <v>10000</v>
      </c>
      <c r="C15">
        <v>0.246</v>
      </c>
      <c r="D15">
        <v>1</v>
      </c>
    </row>
    <row r="16" spans="1:21">
      <c r="A16" t="s">
        <v>31</v>
      </c>
      <c r="B16">
        <v>12000</v>
      </c>
      <c r="C16">
        <v>0.24</v>
      </c>
      <c r="D16">
        <v>1</v>
      </c>
    </row>
    <row r="17" spans="1:4">
      <c r="A17" t="s">
        <v>48</v>
      </c>
      <c r="B17">
        <v>5752500</v>
      </c>
      <c r="C17">
        <v>3.6160000000000001</v>
      </c>
      <c r="D17">
        <v>13</v>
      </c>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B2C70-A670-408E-A3BD-0A1A2F51BAC2}">
  <dimension ref="A1:D9"/>
  <sheetViews>
    <sheetView workbookViewId="0">
      <selection activeCell="G21" sqref="G21"/>
    </sheetView>
  </sheetViews>
  <sheetFormatPr defaultRowHeight="14.4"/>
  <cols>
    <col min="1" max="1" width="17.77734375" bestFit="1" customWidth="1"/>
    <col min="2" max="2" width="15.5546875" bestFit="1" customWidth="1"/>
    <col min="3" max="3" width="5" bestFit="1" customWidth="1"/>
    <col min="4" max="4" width="10.77734375" bestFit="1" customWidth="1"/>
  </cols>
  <sheetData>
    <row r="1" spans="1:4">
      <c r="A1" s="37" t="s">
        <v>53</v>
      </c>
      <c r="B1" s="37" t="s">
        <v>52</v>
      </c>
    </row>
    <row r="2" spans="1:4">
      <c r="A2" s="37" t="s">
        <v>47</v>
      </c>
      <c r="B2" t="s">
        <v>49</v>
      </c>
      <c r="C2" t="s">
        <v>51</v>
      </c>
      <c r="D2" t="s">
        <v>48</v>
      </c>
    </row>
    <row r="3" spans="1:4">
      <c r="A3" s="38" t="s">
        <v>50</v>
      </c>
      <c r="B3">
        <v>6</v>
      </c>
      <c r="D3">
        <v>6</v>
      </c>
    </row>
    <row r="4" spans="1:4">
      <c r="A4" s="38" t="s">
        <v>112</v>
      </c>
      <c r="B4">
        <v>1</v>
      </c>
      <c r="D4">
        <v>1</v>
      </c>
    </row>
    <row r="5" spans="1:4">
      <c r="A5" s="38" t="s">
        <v>113</v>
      </c>
      <c r="B5">
        <v>1</v>
      </c>
      <c r="D5">
        <v>1</v>
      </c>
    </row>
    <row r="6" spans="1:4">
      <c r="A6" s="38" t="s">
        <v>111</v>
      </c>
      <c r="B6">
        <v>1</v>
      </c>
      <c r="C6">
        <v>1</v>
      </c>
      <c r="D6">
        <v>2</v>
      </c>
    </row>
    <row r="7" spans="1:4">
      <c r="A7" s="38" t="s">
        <v>114</v>
      </c>
      <c r="B7">
        <v>1</v>
      </c>
      <c r="D7">
        <v>1</v>
      </c>
    </row>
    <row r="8" spans="1:4">
      <c r="A8" s="38" t="s">
        <v>115</v>
      </c>
      <c r="B8">
        <v>2</v>
      </c>
      <c r="D8">
        <v>2</v>
      </c>
    </row>
    <row r="9" spans="1:4">
      <c r="A9" s="38" t="s">
        <v>48</v>
      </c>
      <c r="B9">
        <v>12</v>
      </c>
      <c r="C9">
        <v>1</v>
      </c>
      <c r="D9">
        <v>13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997D9-8A01-4340-9C63-66405D81A9C3}">
  <dimension ref="D63:AA75"/>
  <sheetViews>
    <sheetView rightToLeft="1" tabSelected="1" zoomScale="36" zoomScaleNormal="36" workbookViewId="0">
      <selection activeCell="B74" sqref="B74"/>
    </sheetView>
  </sheetViews>
  <sheetFormatPr defaultRowHeight="14.4"/>
  <cols>
    <col min="1" max="1" width="27" style="36" bestFit="1" customWidth="1"/>
    <col min="2" max="2" width="17" style="36" bestFit="1" customWidth="1"/>
    <col min="3" max="3" width="22.33203125" style="36" bestFit="1" customWidth="1"/>
    <col min="4" max="4" width="27.109375" style="36" bestFit="1" customWidth="1"/>
    <col min="5" max="5" width="27.109375" style="36" customWidth="1"/>
    <col min="6" max="6" width="17.77734375" style="36" bestFit="1" customWidth="1"/>
    <col min="7" max="7" width="33.33203125" style="36" bestFit="1" customWidth="1"/>
    <col min="8" max="8" width="24.77734375" style="36" bestFit="1" customWidth="1"/>
    <col min="9" max="9" width="28.5546875" style="36" bestFit="1" customWidth="1"/>
    <col min="10" max="10" width="8.88671875" style="36"/>
    <col min="11" max="11" width="24.109375" style="36" customWidth="1"/>
    <col min="12" max="12" width="25.5546875" style="36" bestFit="1" customWidth="1"/>
    <col min="13" max="13" width="10.21875" style="36" bestFit="1" customWidth="1"/>
    <col min="14" max="14" width="31.21875" style="36" bestFit="1" customWidth="1"/>
    <col min="15" max="15" width="13.21875" style="36" customWidth="1"/>
    <col min="16" max="16" width="27.21875" style="36" bestFit="1" customWidth="1"/>
    <col min="17" max="17" width="21.5546875" style="36" bestFit="1" customWidth="1"/>
    <col min="18" max="18" width="18.77734375" style="36" bestFit="1" customWidth="1"/>
    <col min="19" max="19" width="21.21875" style="36" bestFit="1" customWidth="1"/>
    <col min="20" max="20" width="53.21875" style="36" bestFit="1" customWidth="1"/>
    <col min="21" max="21" width="17.5546875" style="36" bestFit="1" customWidth="1"/>
    <col min="22" max="22" width="21.109375" style="36" bestFit="1" customWidth="1"/>
    <col min="23" max="23" width="21.21875" style="36" bestFit="1" customWidth="1"/>
    <col min="24" max="24" width="22.33203125" style="36" bestFit="1" customWidth="1"/>
    <col min="25" max="25" width="16.88671875" style="36" bestFit="1" customWidth="1"/>
    <col min="26" max="26" width="14.6640625" style="36" bestFit="1" customWidth="1"/>
    <col min="27" max="27" width="31.77734375" style="36" bestFit="1" customWidth="1"/>
    <col min="28" max="28" width="24.77734375" style="36" bestFit="1" customWidth="1"/>
    <col min="29" max="16384" width="8.88671875" style="36"/>
  </cols>
  <sheetData>
    <row r="63" ht="14.4" customHeight="1"/>
    <row r="64" ht="14.4" customHeight="1"/>
    <row r="65" spans="4:27" ht="14.4" customHeight="1"/>
    <row r="71" spans="4:27" ht="14.4" customHeight="1"/>
    <row r="72" spans="4:27" ht="14.4" customHeight="1"/>
    <row r="73" spans="4:27" ht="14.4" customHeight="1">
      <c r="D73" s="69"/>
      <c r="E73" s="69"/>
      <c r="F73" s="69"/>
      <c r="N73" s="70"/>
      <c r="O73" s="70"/>
      <c r="Y73" s="42"/>
    </row>
    <row r="74" spans="4:27" ht="23.4" customHeight="1">
      <c r="D74" s="69"/>
      <c r="E74" s="69"/>
      <c r="F74" s="69"/>
      <c r="N74" s="70"/>
      <c r="O74" s="70"/>
      <c r="Y74" s="42"/>
    </row>
    <row r="75" spans="4:27" ht="23.4">
      <c r="Y75" s="41"/>
      <c r="Z75" s="41"/>
      <c r="AA75" s="41"/>
    </row>
  </sheetData>
  <mergeCells count="2">
    <mergeCell ref="D73:F74"/>
    <mergeCell ref="N73:O7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AB4B7-E035-48D6-BB27-A15AE2F54AA3}">
  <dimension ref="A1:H15"/>
  <sheetViews>
    <sheetView rightToLeft="1" workbookViewId="0">
      <selection activeCell="H4" sqref="H4"/>
    </sheetView>
  </sheetViews>
  <sheetFormatPr defaultRowHeight="14.4"/>
  <cols>
    <col min="1" max="1" width="16.44140625" bestFit="1" customWidth="1"/>
    <col min="2" max="2" width="16.77734375" bestFit="1" customWidth="1"/>
    <col min="3" max="3" width="14.77734375" bestFit="1" customWidth="1"/>
    <col min="4" max="4" width="60.21875" bestFit="1" customWidth="1"/>
    <col min="5" max="5" width="19.6640625" bestFit="1" customWidth="1"/>
    <col min="6" max="6" width="12.88671875" customWidth="1"/>
  </cols>
  <sheetData>
    <row r="1" spans="1:8">
      <c r="A1" s="37" t="s">
        <v>0</v>
      </c>
      <c r="B1" t="s">
        <v>56</v>
      </c>
      <c r="C1" t="s">
        <v>101</v>
      </c>
    </row>
    <row r="2" spans="1:8">
      <c r="A2" t="s">
        <v>10</v>
      </c>
      <c r="B2">
        <v>15000</v>
      </c>
      <c r="C2">
        <v>4950</v>
      </c>
    </row>
    <row r="3" spans="1:8">
      <c r="A3" t="s">
        <v>14</v>
      </c>
      <c r="B3">
        <v>15000</v>
      </c>
      <c r="C3">
        <v>4350</v>
      </c>
      <c r="F3" t="s">
        <v>96</v>
      </c>
      <c r="G3" t="s">
        <v>97</v>
      </c>
      <c r="H3" t="s">
        <v>60</v>
      </c>
    </row>
    <row r="4" spans="1:8">
      <c r="A4" t="s">
        <v>18</v>
      </c>
      <c r="B4">
        <v>15000</v>
      </c>
      <c r="C4">
        <v>5550</v>
      </c>
      <c r="E4" t="s">
        <v>102</v>
      </c>
      <c r="F4">
        <f>COUNTIFS(B2:B16, "&lt;=500000")</f>
        <v>12</v>
      </c>
      <c r="G4" s="53">
        <f>SUMIF(B:B, "&lt;=500000", B:B)</f>
        <v>167500</v>
      </c>
      <c r="H4">
        <f>SUMIF(B:B, "&lt;=500000",C:C)</f>
        <v>45903</v>
      </c>
    </row>
    <row r="5" spans="1:8">
      <c r="A5" t="s">
        <v>20</v>
      </c>
      <c r="B5">
        <v>15000</v>
      </c>
      <c r="C5">
        <v>2850</v>
      </c>
      <c r="E5" t="s">
        <v>103</v>
      </c>
      <c r="F5">
        <f>COUNTIFS(B2:B16, "&gt;500000")</f>
        <v>2</v>
      </c>
      <c r="G5" s="52">
        <f>SUMIF(B:B, "&gt;500000", B:B)</f>
        <v>5600000</v>
      </c>
      <c r="H5">
        <f>SUMIF(B:B, "&gt;500000",C:C)</f>
        <v>1922800</v>
      </c>
    </row>
    <row r="6" spans="1:8">
      <c r="A6" t="s">
        <v>21</v>
      </c>
      <c r="B6">
        <v>5000000</v>
      </c>
      <c r="C6">
        <v>1750000</v>
      </c>
    </row>
    <row r="7" spans="1:8">
      <c r="A7" t="s">
        <v>22</v>
      </c>
      <c r="B7">
        <v>600000</v>
      </c>
      <c r="C7">
        <v>172800</v>
      </c>
    </row>
    <row r="8" spans="1:8">
      <c r="A8" t="s">
        <v>23</v>
      </c>
      <c r="B8">
        <v>500</v>
      </c>
      <c r="C8">
        <v>141</v>
      </c>
    </row>
    <row r="9" spans="1:8">
      <c r="A9" t="s">
        <v>24</v>
      </c>
      <c r="B9">
        <v>25000</v>
      </c>
      <c r="C9">
        <v>6900.0000000000009</v>
      </c>
    </row>
    <row r="10" spans="1:8">
      <c r="A10" t="s">
        <v>25</v>
      </c>
      <c r="B10">
        <v>27000</v>
      </c>
      <c r="C10">
        <v>7290.0000000000009</v>
      </c>
    </row>
    <row r="11" spans="1:8">
      <c r="A11" t="s">
        <v>26</v>
      </c>
      <c r="B11">
        <v>13000</v>
      </c>
      <c r="C11">
        <v>3432</v>
      </c>
    </row>
    <row r="12" spans="1:8">
      <c r="A12" t="s">
        <v>27</v>
      </c>
      <c r="B12">
        <v>10000</v>
      </c>
      <c r="C12">
        <v>2580</v>
      </c>
    </row>
    <row r="13" spans="1:8">
      <c r="A13" t="s">
        <v>28</v>
      </c>
      <c r="B13">
        <v>10000</v>
      </c>
      <c r="C13">
        <v>2520</v>
      </c>
    </row>
    <row r="14" spans="1:8">
      <c r="A14" t="s">
        <v>30</v>
      </c>
      <c r="B14">
        <v>10000</v>
      </c>
      <c r="C14">
        <v>2460</v>
      </c>
    </row>
    <row r="15" spans="1:8">
      <c r="A15" t="s">
        <v>31</v>
      </c>
      <c r="B15">
        <v>12000</v>
      </c>
      <c r="C15">
        <v>2880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14B45-4807-48F2-8D60-273C219EA88E}">
  <dimension ref="A2:R39"/>
  <sheetViews>
    <sheetView rightToLeft="1" zoomScale="41" zoomScaleNormal="70" workbookViewId="0">
      <selection activeCell="J18" sqref="J18"/>
    </sheetView>
  </sheetViews>
  <sheetFormatPr defaultRowHeight="25.05" customHeight="1"/>
  <cols>
    <col min="1" max="1" width="20.109375" style="58" bestFit="1" customWidth="1"/>
    <col min="2" max="2" width="23.44140625" style="58" bestFit="1" customWidth="1"/>
    <col min="3" max="3" width="17.44140625" style="58" bestFit="1" customWidth="1"/>
    <col min="4" max="4" width="20.6640625" style="58" bestFit="1" customWidth="1"/>
    <col min="5" max="5" width="28.33203125" style="58" bestFit="1" customWidth="1"/>
    <col min="6" max="6" width="22.109375" style="58" bestFit="1" customWidth="1"/>
    <col min="7" max="7" width="17.6640625" style="58" bestFit="1" customWidth="1"/>
    <col min="8" max="8" width="22.109375" style="58" bestFit="1" customWidth="1"/>
    <col min="9" max="9" width="5.109375" style="58" customWidth="1"/>
    <col min="10" max="10" width="30.33203125" style="58" bestFit="1" customWidth="1"/>
    <col min="11" max="11" width="31.5546875" style="58" bestFit="1" customWidth="1"/>
    <col min="12" max="12" width="9" style="58" bestFit="1" customWidth="1"/>
    <col min="13" max="13" width="19.88671875" style="58" bestFit="1" customWidth="1"/>
    <col min="14" max="14" width="16.109375" style="58" bestFit="1" customWidth="1"/>
    <col min="15" max="16" width="18.21875" style="58" bestFit="1" customWidth="1"/>
    <col min="17" max="17" width="24" style="58" customWidth="1"/>
    <col min="18" max="18" width="31.77734375" style="58" bestFit="1" customWidth="1"/>
    <col min="19" max="19" width="15.21875" style="58" customWidth="1"/>
    <col min="20" max="16384" width="8.88671875" style="58"/>
  </cols>
  <sheetData>
    <row r="2" spans="1:18" ht="33" customHeight="1"/>
    <row r="3" spans="1:18" ht="33.6" customHeight="1"/>
    <row r="4" spans="1:18" ht="21" customHeight="1">
      <c r="A4" s="65" t="s">
        <v>1</v>
      </c>
      <c r="B4" s="62" t="s">
        <v>82</v>
      </c>
      <c r="C4" s="71" t="s">
        <v>83</v>
      </c>
      <c r="D4" s="71"/>
      <c r="E4" s="71"/>
      <c r="K4" s="71" t="s">
        <v>86</v>
      </c>
      <c r="L4" s="71"/>
      <c r="Q4" s="71" t="s">
        <v>107</v>
      </c>
    </row>
    <row r="5" spans="1:18" ht="51.6" customHeight="1">
      <c r="A5" s="63" t="s">
        <v>0</v>
      </c>
      <c r="B5" s="62" t="s">
        <v>82</v>
      </c>
      <c r="C5" s="71"/>
      <c r="D5" s="71"/>
      <c r="E5" s="71"/>
      <c r="K5" s="71"/>
      <c r="L5" s="71"/>
      <c r="Q5" s="71"/>
    </row>
    <row r="6" spans="1:18" ht="12" customHeight="1">
      <c r="A6" s="59"/>
      <c r="B6" s="59"/>
      <c r="C6" s="59"/>
    </row>
    <row r="7" spans="1:18" ht="54" customHeight="1">
      <c r="A7" s="63" t="s">
        <v>2</v>
      </c>
      <c r="B7" s="63" t="s">
        <v>84</v>
      </c>
      <c r="C7" s="64" t="s">
        <v>85</v>
      </c>
      <c r="E7" s="47" t="s">
        <v>1</v>
      </c>
      <c r="F7" s="47" t="s">
        <v>81</v>
      </c>
      <c r="G7" s="47" t="s">
        <v>80</v>
      </c>
      <c r="J7" s="47" t="s">
        <v>88</v>
      </c>
      <c r="K7" s="47" t="s">
        <v>87</v>
      </c>
      <c r="L7" s="47" t="s">
        <v>80</v>
      </c>
      <c r="M7" s="47" t="s">
        <v>84</v>
      </c>
      <c r="N7" s="47" t="s">
        <v>85</v>
      </c>
      <c r="P7" s="47"/>
      <c r="Q7" s="47" t="s">
        <v>96</v>
      </c>
      <c r="R7" s="47" t="s">
        <v>97</v>
      </c>
    </row>
    <row r="8" spans="1:18" ht="34.799999999999997" customHeight="1">
      <c r="A8" s="47" t="s">
        <v>12</v>
      </c>
      <c r="B8" s="47">
        <v>65000</v>
      </c>
      <c r="C8" s="47">
        <v>1.048</v>
      </c>
      <c r="E8" s="61" t="s">
        <v>11</v>
      </c>
      <c r="F8" s="61">
        <v>9739.6649999999991</v>
      </c>
      <c r="G8" s="61">
        <v>3</v>
      </c>
      <c r="J8" s="61" t="s">
        <v>49</v>
      </c>
      <c r="K8" s="66"/>
      <c r="L8" s="61">
        <v>13</v>
      </c>
      <c r="M8" s="61">
        <v>5752500</v>
      </c>
      <c r="N8" s="61">
        <v>3.7159999999999993</v>
      </c>
      <c r="P8" s="51" t="s">
        <v>98</v>
      </c>
      <c r="Q8" s="41">
        <f>المقارنة!$F$4</f>
        <v>12</v>
      </c>
      <c r="R8" s="55">
        <f>المقارنة!$G$4</f>
        <v>167500</v>
      </c>
    </row>
    <row r="9" spans="1:18" ht="32.4" customHeight="1">
      <c r="A9" s="47" t="s">
        <v>19</v>
      </c>
      <c r="B9" s="47">
        <v>25500</v>
      </c>
      <c r="C9" s="47">
        <v>0.90999999999999992</v>
      </c>
      <c r="E9" s="61" t="s">
        <v>29</v>
      </c>
      <c r="F9" s="61">
        <v>3834.6750000000002</v>
      </c>
      <c r="G9" s="61">
        <v>1</v>
      </c>
      <c r="J9" s="61" t="s">
        <v>51</v>
      </c>
      <c r="K9" s="66"/>
      <c r="L9" s="61">
        <v>1</v>
      </c>
      <c r="M9" s="61">
        <v>15000</v>
      </c>
      <c r="N9" s="61">
        <v>0.19</v>
      </c>
      <c r="P9" s="51" t="s">
        <v>99</v>
      </c>
      <c r="Q9" s="41">
        <f>المقارنة!$F$5</f>
        <v>2</v>
      </c>
      <c r="R9" s="55">
        <f>المقارنة!G$5</f>
        <v>5600000</v>
      </c>
    </row>
    <row r="10" spans="1:18" ht="33.6" customHeight="1">
      <c r="A10" s="47" t="s">
        <v>16</v>
      </c>
      <c r="B10" s="47">
        <v>5677000</v>
      </c>
      <c r="C10" s="47">
        <v>1.948</v>
      </c>
      <c r="E10" s="61" t="s">
        <v>15</v>
      </c>
      <c r="F10" s="61">
        <v>42117.074999999997</v>
      </c>
      <c r="G10" s="61">
        <v>11</v>
      </c>
      <c r="J10" s="61" t="s">
        <v>48</v>
      </c>
      <c r="K10" s="61"/>
      <c r="L10" s="61">
        <v>14</v>
      </c>
      <c r="M10" s="61">
        <v>5767500</v>
      </c>
      <c r="N10" s="61">
        <v>3.9059999999999993</v>
      </c>
      <c r="P10" s="51" t="s">
        <v>104</v>
      </c>
      <c r="Q10" s="41">
        <f>Q8</f>
        <v>12</v>
      </c>
      <c r="R10" s="55">
        <f>المقارنة!$H$4</f>
        <v>45903</v>
      </c>
    </row>
    <row r="11" spans="1:18" ht="34.799999999999997" customHeight="1">
      <c r="A11" s="47" t="s">
        <v>48</v>
      </c>
      <c r="B11" s="47">
        <v>5767500</v>
      </c>
      <c r="C11" s="47">
        <v>3.9059999999999997</v>
      </c>
      <c r="E11" s="61" t="s">
        <v>48</v>
      </c>
      <c r="F11" s="61">
        <v>55691.414999999994</v>
      </c>
      <c r="G11" s="61">
        <v>15</v>
      </c>
      <c r="P11" s="51" t="s">
        <v>105</v>
      </c>
      <c r="Q11" s="41">
        <f>Q9</f>
        <v>2</v>
      </c>
      <c r="R11" s="55">
        <f>المقارنة!$H$5</f>
        <v>1922800</v>
      </c>
    </row>
    <row r="12" spans="1:18" ht="23.4">
      <c r="P12" s="54" t="s">
        <v>106</v>
      </c>
      <c r="Q12" s="56">
        <f>المقارنة!F4+المقارنة!F5</f>
        <v>14</v>
      </c>
      <c r="R12" s="57">
        <f>المقارنة!G4+المقارنة!G5</f>
        <v>5767500</v>
      </c>
    </row>
    <row r="21" spans="1:16" ht="25.05" customHeight="1">
      <c r="D21" s="71" t="s">
        <v>74</v>
      </c>
      <c r="E21" s="71"/>
      <c r="L21" s="71" t="s">
        <v>75</v>
      </c>
      <c r="M21" s="71"/>
    </row>
    <row r="22" spans="1:16" ht="25.05" customHeight="1">
      <c r="D22" s="71"/>
      <c r="E22" s="71"/>
      <c r="L22" s="71"/>
      <c r="M22" s="71"/>
    </row>
    <row r="24" spans="1:16" ht="52.2" customHeight="1">
      <c r="A24" s="47" t="s">
        <v>0</v>
      </c>
      <c r="B24" s="47" t="s">
        <v>1</v>
      </c>
      <c r="C24" s="47" t="s">
        <v>71</v>
      </c>
      <c r="D24" s="47" t="s">
        <v>67</v>
      </c>
      <c r="E24" s="47" t="s">
        <v>72</v>
      </c>
      <c r="F24" s="47" t="s">
        <v>73</v>
      </c>
      <c r="G24"/>
      <c r="H24"/>
      <c r="J24" s="44" t="s">
        <v>0</v>
      </c>
      <c r="K24" s="44" t="s">
        <v>1</v>
      </c>
      <c r="L24" s="44" t="s">
        <v>76</v>
      </c>
      <c r="M24" s="44" t="s">
        <v>77</v>
      </c>
      <c r="N24" s="44" t="s">
        <v>63</v>
      </c>
      <c r="O24" s="44" t="s">
        <v>79</v>
      </c>
      <c r="P24" s="44" t="s">
        <v>78</v>
      </c>
    </row>
    <row r="25" spans="1:16" ht="25.05" customHeight="1">
      <c r="A25" s="47" t="s">
        <v>10</v>
      </c>
      <c r="B25" s="67"/>
      <c r="C25" s="68">
        <v>484</v>
      </c>
      <c r="D25" s="68">
        <v>48.4</v>
      </c>
      <c r="E25" s="68">
        <v>94.38</v>
      </c>
      <c r="F25" s="68">
        <v>723.57999999999993</v>
      </c>
      <c r="G25"/>
      <c r="H25"/>
      <c r="J25" s="48" t="s">
        <v>10</v>
      </c>
      <c r="K25" s="43"/>
      <c r="L25" s="48">
        <v>37</v>
      </c>
      <c r="M25" s="48">
        <v>13465.4</v>
      </c>
      <c r="N25" s="48">
        <v>2019.81</v>
      </c>
      <c r="O25" s="48">
        <v>15485.21</v>
      </c>
      <c r="P25" s="48">
        <v>12741.82</v>
      </c>
    </row>
    <row r="26" spans="1:16" ht="25.05" customHeight="1">
      <c r="A26" s="47" t="s">
        <v>14</v>
      </c>
      <c r="B26" s="67"/>
      <c r="C26" s="68">
        <v>120</v>
      </c>
      <c r="D26" s="68">
        <v>12</v>
      </c>
      <c r="E26" s="68">
        <v>23.4</v>
      </c>
      <c r="F26" s="68">
        <v>179.4</v>
      </c>
      <c r="G26"/>
      <c r="H26"/>
      <c r="J26" s="48" t="s">
        <v>14</v>
      </c>
      <c r="K26" s="43"/>
      <c r="L26" s="48">
        <v>13</v>
      </c>
      <c r="M26" s="48">
        <v>2028</v>
      </c>
      <c r="N26" s="48">
        <v>304.2</v>
      </c>
      <c r="O26" s="48">
        <v>2332.1999999999998</v>
      </c>
      <c r="P26" s="48">
        <v>1848.6</v>
      </c>
    </row>
    <row r="27" spans="1:16" ht="25.05" customHeight="1">
      <c r="A27" s="47" t="s">
        <v>18</v>
      </c>
      <c r="B27" s="67"/>
      <c r="C27" s="68">
        <v>121</v>
      </c>
      <c r="D27" s="68">
        <v>12.100000000000001</v>
      </c>
      <c r="E27" s="68">
        <v>23.595000000000002</v>
      </c>
      <c r="F27" s="68">
        <v>180.89500000000001</v>
      </c>
      <c r="G27"/>
      <c r="H27"/>
      <c r="J27" s="48" t="s">
        <v>18</v>
      </c>
      <c r="K27" s="43"/>
      <c r="L27" s="48">
        <v>14</v>
      </c>
      <c r="M27" s="48">
        <v>2202.2000000000003</v>
      </c>
      <c r="N27" s="48">
        <v>330.33000000000004</v>
      </c>
      <c r="O27" s="48">
        <v>2532.5300000000002</v>
      </c>
      <c r="P27" s="48">
        <v>2021.3050000000003</v>
      </c>
    </row>
    <row r="28" spans="1:16" ht="25.05" customHeight="1">
      <c r="A28" s="47" t="s">
        <v>20</v>
      </c>
      <c r="B28" s="67"/>
      <c r="C28" s="68">
        <v>125</v>
      </c>
      <c r="D28" s="68">
        <v>12.5</v>
      </c>
      <c r="E28" s="68">
        <v>24.375</v>
      </c>
      <c r="F28" s="68">
        <v>186.875</v>
      </c>
      <c r="G28"/>
      <c r="H28"/>
      <c r="J28" s="48" t="s">
        <v>20</v>
      </c>
      <c r="K28" s="43"/>
      <c r="L28" s="48">
        <v>15</v>
      </c>
      <c r="M28" s="48">
        <v>2437.5</v>
      </c>
      <c r="N28" s="48">
        <v>365.625</v>
      </c>
      <c r="O28" s="48">
        <v>2803.125</v>
      </c>
      <c r="P28" s="48">
        <v>2250.625</v>
      </c>
    </row>
    <row r="29" spans="1:16" ht="25.05" customHeight="1">
      <c r="A29" s="47" t="s">
        <v>21</v>
      </c>
      <c r="B29" s="67"/>
      <c r="C29" s="68">
        <v>130</v>
      </c>
      <c r="D29" s="68">
        <v>13</v>
      </c>
      <c r="E29" s="68">
        <v>25.349999999999998</v>
      </c>
      <c r="F29" s="68">
        <v>194.35</v>
      </c>
      <c r="G29"/>
      <c r="H29"/>
      <c r="J29" s="48" t="s">
        <v>21</v>
      </c>
      <c r="K29" s="43"/>
      <c r="L29" s="48">
        <v>16</v>
      </c>
      <c r="M29" s="48">
        <v>2704</v>
      </c>
      <c r="N29" s="48">
        <v>405.59999999999997</v>
      </c>
      <c r="O29" s="48">
        <v>3109.6</v>
      </c>
      <c r="P29" s="48">
        <v>2509.65</v>
      </c>
    </row>
    <row r="30" spans="1:16" ht="25.05" customHeight="1">
      <c r="A30" s="47" t="s">
        <v>22</v>
      </c>
      <c r="B30" s="67"/>
      <c r="C30" s="68">
        <v>129</v>
      </c>
      <c r="D30" s="68">
        <v>12.9</v>
      </c>
      <c r="E30" s="68">
        <v>25.154999999999998</v>
      </c>
      <c r="F30" s="68">
        <v>192.85499999999999</v>
      </c>
      <c r="G30"/>
      <c r="H30"/>
      <c r="J30" s="48" t="s">
        <v>22</v>
      </c>
      <c r="K30" s="43"/>
      <c r="L30" s="48">
        <v>17</v>
      </c>
      <c r="M30" s="48">
        <v>2850.8999999999996</v>
      </c>
      <c r="N30" s="48">
        <v>427.63499999999993</v>
      </c>
      <c r="O30" s="48">
        <v>3278.5349999999994</v>
      </c>
      <c r="P30" s="48">
        <v>2658.0449999999996</v>
      </c>
    </row>
    <row r="31" spans="1:16" ht="25.05" customHeight="1">
      <c r="A31" s="47" t="s">
        <v>23</v>
      </c>
      <c r="B31" s="67"/>
      <c r="C31" s="68">
        <v>170</v>
      </c>
      <c r="D31" s="68">
        <v>17</v>
      </c>
      <c r="E31" s="68">
        <v>33.15</v>
      </c>
      <c r="F31" s="68">
        <v>254.15</v>
      </c>
      <c r="G31"/>
      <c r="H31"/>
      <c r="J31" s="48" t="s">
        <v>23</v>
      </c>
      <c r="K31" s="43"/>
      <c r="L31" s="48">
        <v>18</v>
      </c>
      <c r="M31" s="48">
        <v>3978</v>
      </c>
      <c r="N31" s="48">
        <v>596.69999999999993</v>
      </c>
      <c r="O31" s="48">
        <v>4574.7</v>
      </c>
      <c r="P31" s="48">
        <v>3723.85</v>
      </c>
    </row>
    <row r="32" spans="1:16" ht="25.05" customHeight="1">
      <c r="A32" s="47" t="s">
        <v>24</v>
      </c>
      <c r="B32" s="67"/>
      <c r="C32" s="68">
        <v>190</v>
      </c>
      <c r="D32" s="68">
        <v>19</v>
      </c>
      <c r="E32" s="68">
        <v>37.049999999999997</v>
      </c>
      <c r="F32" s="68">
        <v>284.05</v>
      </c>
      <c r="G32"/>
      <c r="H32"/>
      <c r="J32" s="48" t="s">
        <v>24</v>
      </c>
      <c r="K32" s="43"/>
      <c r="L32" s="48">
        <v>19</v>
      </c>
      <c r="M32" s="48">
        <v>4693</v>
      </c>
      <c r="N32" s="48">
        <v>703.94999999999993</v>
      </c>
      <c r="O32" s="48">
        <v>5396.95</v>
      </c>
      <c r="P32" s="48">
        <v>4408.95</v>
      </c>
    </row>
    <row r="33" spans="1:16" ht="25.05" customHeight="1">
      <c r="A33" s="47" t="s">
        <v>25</v>
      </c>
      <c r="B33" s="67"/>
      <c r="C33" s="68">
        <v>180</v>
      </c>
      <c r="D33" s="68">
        <v>18</v>
      </c>
      <c r="E33" s="68">
        <v>35.1</v>
      </c>
      <c r="F33" s="68">
        <v>269.10000000000002</v>
      </c>
      <c r="G33"/>
      <c r="H33"/>
      <c r="J33" s="48" t="s">
        <v>25</v>
      </c>
      <c r="K33" s="43"/>
      <c r="L33" s="48">
        <v>20</v>
      </c>
      <c r="M33" s="48">
        <v>4680</v>
      </c>
      <c r="N33" s="48">
        <v>702</v>
      </c>
      <c r="O33" s="48">
        <v>5382</v>
      </c>
      <c r="P33" s="48">
        <v>4410.8999999999996</v>
      </c>
    </row>
    <row r="34" spans="1:16" ht="25.05" customHeight="1">
      <c r="A34" s="47" t="s">
        <v>26</v>
      </c>
      <c r="B34" s="67"/>
      <c r="C34" s="68">
        <v>120</v>
      </c>
      <c r="D34" s="68">
        <v>12</v>
      </c>
      <c r="E34" s="68">
        <v>23.4</v>
      </c>
      <c r="F34" s="68">
        <v>179.4</v>
      </c>
      <c r="G34"/>
      <c r="H34"/>
      <c r="J34" s="48" t="s">
        <v>26</v>
      </c>
      <c r="K34" s="43"/>
      <c r="L34" s="48">
        <v>21</v>
      </c>
      <c r="M34" s="48">
        <v>3276</v>
      </c>
      <c r="N34" s="48">
        <v>491.4</v>
      </c>
      <c r="O34" s="48">
        <v>3767.4</v>
      </c>
      <c r="P34" s="48">
        <v>3096.6</v>
      </c>
    </row>
    <row r="35" spans="1:16" ht="25.05" customHeight="1">
      <c r="A35" s="47" t="s">
        <v>27</v>
      </c>
      <c r="B35" s="67"/>
      <c r="C35" s="68">
        <v>160</v>
      </c>
      <c r="D35" s="68">
        <v>16</v>
      </c>
      <c r="E35" s="68">
        <v>31.2</v>
      </c>
      <c r="F35" s="68">
        <v>239.2</v>
      </c>
      <c r="G35"/>
      <c r="H35"/>
      <c r="J35" s="48" t="s">
        <v>27</v>
      </c>
      <c r="K35" s="43"/>
      <c r="L35" s="48">
        <v>22</v>
      </c>
      <c r="M35" s="48">
        <v>4576</v>
      </c>
      <c r="N35" s="48">
        <v>686.4</v>
      </c>
      <c r="O35" s="48">
        <v>5262.4</v>
      </c>
      <c r="P35" s="48">
        <v>4336.8</v>
      </c>
    </row>
    <row r="36" spans="1:16" ht="25.05" customHeight="1">
      <c r="A36" s="47" t="s">
        <v>28</v>
      </c>
      <c r="B36" s="67"/>
      <c r="C36" s="68">
        <v>135</v>
      </c>
      <c r="D36" s="68">
        <v>13.5</v>
      </c>
      <c r="E36" s="68">
        <v>26.324999999999999</v>
      </c>
      <c r="F36" s="68">
        <v>201.82499999999999</v>
      </c>
      <c r="G36"/>
      <c r="H36"/>
      <c r="J36" s="48" t="s">
        <v>28</v>
      </c>
      <c r="K36" s="43"/>
      <c r="L36" s="48">
        <v>23</v>
      </c>
      <c r="M36" s="48">
        <v>4036.5</v>
      </c>
      <c r="N36" s="48">
        <v>605.47500000000002</v>
      </c>
      <c r="O36" s="48">
        <v>4641.9750000000004</v>
      </c>
      <c r="P36" s="48">
        <v>3834.6750000000002</v>
      </c>
    </row>
    <row r="37" spans="1:16" ht="25.05" customHeight="1">
      <c r="A37" s="47" t="s">
        <v>30</v>
      </c>
      <c r="B37" s="67"/>
      <c r="C37" s="68">
        <v>139</v>
      </c>
      <c r="D37" s="68">
        <v>13.9</v>
      </c>
      <c r="E37" s="68">
        <v>27.104999999999997</v>
      </c>
      <c r="F37" s="68">
        <v>207.80499999999998</v>
      </c>
      <c r="G37"/>
      <c r="H37"/>
      <c r="J37" s="48" t="s">
        <v>30</v>
      </c>
      <c r="K37" s="43"/>
      <c r="L37" s="48">
        <v>24</v>
      </c>
      <c r="M37" s="48">
        <v>4336.7999999999993</v>
      </c>
      <c r="N37" s="48">
        <v>650.51999999999987</v>
      </c>
      <c r="O37" s="48">
        <v>4987.3199999999988</v>
      </c>
      <c r="P37" s="48">
        <v>4128.994999999999</v>
      </c>
    </row>
    <row r="38" spans="1:16" ht="25.05" customHeight="1">
      <c r="A38" s="47" t="s">
        <v>31</v>
      </c>
      <c r="B38" s="67"/>
      <c r="C38" s="68">
        <v>120</v>
      </c>
      <c r="D38" s="68">
        <v>12</v>
      </c>
      <c r="E38" s="68">
        <v>23.4</v>
      </c>
      <c r="F38" s="68">
        <v>179.4</v>
      </c>
      <c r="G38"/>
      <c r="H38"/>
      <c r="J38" s="48" t="s">
        <v>31</v>
      </c>
      <c r="K38" s="43"/>
      <c r="L38" s="48">
        <v>25</v>
      </c>
      <c r="M38" s="48">
        <v>3900</v>
      </c>
      <c r="N38" s="48">
        <v>585</v>
      </c>
      <c r="O38" s="48">
        <v>4485</v>
      </c>
      <c r="P38" s="48">
        <v>3720.6</v>
      </c>
    </row>
    <row r="39" spans="1:16" ht="25.05" customHeight="1">
      <c r="A39" s="68" t="s">
        <v>48</v>
      </c>
      <c r="B39" s="68"/>
      <c r="C39" s="68">
        <v>2323</v>
      </c>
      <c r="D39" s="68">
        <v>232.3</v>
      </c>
      <c r="E39" s="68">
        <v>452.98499999999996</v>
      </c>
      <c r="F39" s="68">
        <v>3472.8849999999998</v>
      </c>
      <c r="G39"/>
      <c r="H39"/>
      <c r="J39" s="48" t="s">
        <v>48</v>
      </c>
      <c r="K39" s="48"/>
      <c r="L39" s="48">
        <v>284</v>
      </c>
      <c r="M39" s="48">
        <v>59164.3</v>
      </c>
      <c r="N39" s="48">
        <v>8874.6449999999986</v>
      </c>
      <c r="O39" s="48">
        <v>68038.944999999992</v>
      </c>
      <c r="P39" s="48">
        <v>55691.415000000001</v>
      </c>
    </row>
  </sheetData>
  <mergeCells count="5">
    <mergeCell ref="Q4:Q5"/>
    <mergeCell ref="K4:L5"/>
    <mergeCell ref="D21:E22"/>
    <mergeCell ref="L21:M22"/>
    <mergeCell ref="C4:E5"/>
  </mergeCells>
  <pageMargins left="0.7" right="0.7" top="0.75" bottom="0.75" header="0.3" footer="0.3"/>
  <pageSetup orientation="portrait" r:id="rId6"/>
  <ignoredErrors>
    <ignoredError sqref="Q9" formula="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63DB5-B1A2-48A4-BBF5-090E0C164C77}">
  <dimension ref="A1"/>
  <sheetViews>
    <sheetView workbookViewId="0">
      <selection sqref="A1:E8"/>
    </sheetView>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تفاصيل المشروع</vt:lpstr>
      <vt:lpstr>تفاصيل للجهات</vt:lpstr>
      <vt:lpstr>نسبة النمو</vt:lpstr>
      <vt:lpstr>المبيعات والربح</vt:lpstr>
      <vt:lpstr>التكاليف</vt:lpstr>
      <vt:lpstr>المناطق والجهات</vt:lpstr>
      <vt:lpstr>مؤشرات اساسية</vt:lpstr>
      <vt:lpstr>المشاريع لكل شهر</vt:lpstr>
      <vt:lpstr>داشبورد</vt:lpstr>
      <vt:lpstr>المقارنة</vt:lpstr>
      <vt:lpstr>الجداول </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Mustafa Gaseer</cp:lastModifiedBy>
  <dcterms:created xsi:type="dcterms:W3CDTF">2015-06-05T18:17:20Z</dcterms:created>
  <dcterms:modified xsi:type="dcterms:W3CDTF">2025-02-16T15:14:46Z</dcterms:modified>
</cp:coreProperties>
</file>